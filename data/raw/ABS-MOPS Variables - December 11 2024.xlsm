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tables/table1.xml" ContentType="application/vnd.openxmlformats-officedocument.spreadsheetml.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docMetadata/LabelInfo.xml" ContentType="application/vnd.ms-office.classificationlabel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20/02/relationships/classificationlabels" Target="docMetadata/LabelInfo.xml"/><Relationship Id="rId1" Type="http://schemas.openxmlformats.org/officeDocument/2006/relationships/officeDocument" Target="xl/workbook.xml"/><Relationship Id="rId5" Type="http://schemas.openxmlformats.org/officeDocument/2006/relationships/custom-properties" Target="docProps/custom.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227" codeName="{957460C9-B318-DD5D-5CC9-C049C1E746CC}"/>
  <fileSharing readOnlyRecommended="1"/>
  <workbookPr codeName="ThisWorkbook" defaultThemeVersion="166925"/>
  <mc:AlternateContent xmlns:mc="http://schemas.openxmlformats.org/markup-compatibility/2006">
    <mc:Choice Requires="x15">
      <x15ac:absPath xmlns:x15ac="http://schemas.microsoft.com/office/spreadsheetml/2010/11/ac" url="https://thebritegroup-my.sharepoint.com/personal/niloyb_thebritegroup_com/Documents/Documents/"/>
    </mc:Choice>
  </mc:AlternateContent>
  <xr:revisionPtr revIDLastSave="269" documentId="8_{B7C8A6CD-F50E-49D2-9BAA-ED5D70EA0860}" xr6:coauthVersionLast="47" xr6:coauthVersionMax="47" xr10:uidLastSave="{6DFEA6D9-812D-4DE8-AD07-47152D6481E6}"/>
  <bookViews>
    <workbookView xWindow="-120" yWindow="-120" windowWidth="29040" windowHeight="15720" tabRatio="557" firstSheet="1" activeTab="1" xr2:uid="{61156370-2A8F-4818-B10D-F97B5055EDDA}"/>
  </bookViews>
  <sheets>
    <sheet name="Version History" sheetId="3" r:id="rId1"/>
    <sheet name="Data Sheet" sheetId="1" r:id="rId2"/>
    <sheet name="SPIDER-to-QDM Variable Types" sheetId="5" r:id="rId3"/>
    <sheet name="LOVs" sheetId="2" r:id="rId4"/>
  </sheets>
  <calcPr calcId="191028"/>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AB2" i="1" l="1"/>
  <c r="AA2" i="1"/>
  <c r="Z2" i="1"/>
  <c r="Y2" i="1"/>
  <c r="X2" i="1"/>
  <c r="W2" i="1"/>
  <c r="V2" i="1"/>
  <c r="U2" i="1"/>
  <c r="T2" i="1"/>
  <c r="S2" i="1"/>
  <c r="R2" i="1"/>
  <c r="Q2" i="1"/>
  <c r="P2" i="1"/>
  <c r="O2" i="1"/>
  <c r="N2" i="1"/>
  <c r="M2" i="1"/>
  <c r="L2" i="1"/>
  <c r="K2" i="1"/>
  <c r="J2" i="1"/>
  <c r="I2" i="1"/>
  <c r="H2" i="1"/>
  <c r="G2" i="1"/>
  <c r="F2" i="1"/>
  <c r="E2" i="1"/>
  <c r="E4" i="1"/>
  <c r="AB4" i="1"/>
  <c r="AA4" i="1"/>
  <c r="Z4" i="1"/>
  <c r="Y4" i="1"/>
  <c r="X4" i="1"/>
  <c r="W4" i="1"/>
  <c r="V4" i="1"/>
  <c r="T4" i="1"/>
  <c r="S4" i="1"/>
  <c r="R4" i="1"/>
  <c r="Q4" i="1"/>
  <c r="P4" i="1"/>
  <c r="O4" i="1"/>
  <c r="U4" i="1"/>
  <c r="N4" i="1"/>
  <c r="M4" i="1"/>
  <c r="L4" i="1"/>
  <c r="K4" i="1"/>
  <c r="J4" i="1"/>
  <c r="I4" i="1"/>
  <c r="H4" i="1"/>
  <c r="G4" i="1"/>
  <c r="F4" i="1"/>
  <c r="H1" i="1" l="1"/>
  <c r="O1" i="1"/>
  <c r="L1" i="1"/>
  <c r="S1" i="1"/>
  <c r="AA1" i="1"/>
  <c r="G1" i="1"/>
  <c r="K1" i="1"/>
  <c r="U1" i="1"/>
  <c r="R1" i="1"/>
  <c r="W1" i="1"/>
  <c r="Z1" i="1"/>
  <c r="AB1" i="1"/>
  <c r="I1" i="1"/>
  <c r="M1" i="1"/>
  <c r="P1" i="1"/>
  <c r="T1" i="1"/>
  <c r="X1" i="1"/>
  <c r="E1" i="1"/>
  <c r="F1" i="1"/>
  <c r="J1" i="1"/>
  <c r="N1" i="1"/>
  <c r="Q1" i="1"/>
  <c r="V1" i="1"/>
  <c r="Y1" i="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Amber Spriggs</author>
  </authors>
  <commentList>
    <comment ref="AB1" authorId="0" shapeId="0" xr:uid="{80094C70-143A-F546-B046-EE13CD78B989}">
      <text>
        <r>
          <rPr>
            <b/>
            <sz val="10"/>
            <color rgb="FF000000"/>
            <rFont val="Tahoma"/>
            <family val="2"/>
          </rPr>
          <t xml:space="preserve">QDM Business Team Notes: 
</t>
        </r>
        <r>
          <rPr>
            <sz val="10"/>
            <color rgb="FF000000"/>
            <rFont val="Tahoma"/>
            <family val="2"/>
          </rPr>
          <t xml:space="preserve">Enter any new Attributes to left of column X
</t>
        </r>
      </text>
    </comment>
    <comment ref="B3" authorId="0" shapeId="0" xr:uid="{CD600D35-2206-2A41-ABCA-3285192A682C}">
      <text>
        <r>
          <rPr>
            <sz val="10"/>
            <color rgb="FF000000"/>
            <rFont val="Tahoma"/>
            <family val="2"/>
          </rPr>
          <t>QDM Team Populates</t>
        </r>
      </text>
    </comment>
    <comment ref="B5" authorId="0" shapeId="0" xr:uid="{348E8FAF-C141-2146-BDBF-FA41663FBC55}">
      <text>
        <r>
          <rPr>
            <sz val="10"/>
            <color rgb="FF000000"/>
            <rFont val="Tahoma"/>
            <family val="2"/>
          </rPr>
          <t>QDM Team Populates</t>
        </r>
      </text>
    </comment>
  </commentList>
</comments>
</file>

<file path=xl/sharedStrings.xml><?xml version="1.0" encoding="utf-8"?>
<sst xmlns="http://schemas.openxmlformats.org/spreadsheetml/2006/main" count="5118" uniqueCount="2091">
  <si>
    <t>Date</t>
  </si>
  <si>
    <t>Summary of Change</t>
  </si>
  <si>
    <t>Added Version History Tab for tracking future changes</t>
  </si>
  <si>
    <t xml:space="preserve">Added Directorate and Mode Filter selection to simpliy the template </t>
  </si>
  <si>
    <t>Moved the Max Length column to the section that specifies by Variable Type</t>
  </si>
  <si>
    <t>Updated the Mode combinations</t>
  </si>
  <si>
    <t>Updated electronic character set to remove ['A'..'Z','a'..'z',' ','/','-'] as that is not valid in QDM</t>
  </si>
  <si>
    <t>Updated Instructions and Mode combinations</t>
  </si>
  <si>
    <t>Added SPIDER-to-QDM Variables Types tab for converting SPIDER variable types to QDM variable subtypes</t>
  </si>
  <si>
    <t>A note was added to the description column to indicate the field can not be more than 500 characters</t>
  </si>
  <si>
    <t>Added TEXTAREA to LOV for Variable Type; Added note on Topic and Subtopic to always select TBD; Added in LOVs for Topic and Subtopic columns</t>
  </si>
  <si>
    <t>Removed Variable Type = DATETIME (DICE-41555)</t>
  </si>
  <si>
    <t>Removed Child Variable(s) column</t>
  </si>
  <si>
    <t>Update description for Number of Decimal Places</t>
  </si>
  <si>
    <t>Removed note on Topic and Subtopic</t>
  </si>
  <si>
    <t>Updated Variable Type for Paper Valid Character Set</t>
  </si>
  <si>
    <r>
      <rPr>
        <b/>
        <sz val="11"/>
        <color theme="1"/>
        <rFont val="Calibri"/>
        <family val="2"/>
        <scheme val="minor"/>
      </rPr>
      <t>BUTTON FORMULA</t>
    </r>
    <r>
      <rPr>
        <sz val="11"/>
        <color theme="1"/>
        <rFont val="Calibri"/>
        <family val="2"/>
        <scheme val="minor"/>
      </rPr>
      <t xml:space="preserve">
(</t>
    </r>
    <r>
      <rPr>
        <sz val="9"/>
        <color rgb="FFFF0000"/>
        <rFont val="Calibri (Body)"/>
      </rPr>
      <t>Mode</t>
    </r>
    <r>
      <rPr>
        <sz val="9"/>
        <color theme="1"/>
        <rFont val="Calibri"/>
        <family val="2"/>
        <scheme val="minor"/>
      </rPr>
      <t>/</t>
    </r>
    <r>
      <rPr>
        <sz val="9"/>
        <color rgb="FF032BE3"/>
        <rFont val="Calibri (Body)"/>
      </rPr>
      <t>Directorate</t>
    </r>
    <r>
      <rPr>
        <sz val="11"/>
        <color theme="1"/>
        <rFont val="Calibri"/>
        <family val="2"/>
        <scheme val="minor"/>
      </rPr>
      <t>):</t>
    </r>
  </si>
  <si>
    <t>M-Formula:</t>
  </si>
  <si>
    <t xml:space="preserve">Mode: </t>
  </si>
  <si>
    <t>ALL</t>
  </si>
  <si>
    <t>Electronic</t>
  </si>
  <si>
    <t>Paper</t>
  </si>
  <si>
    <t>EXTRA</t>
  </si>
  <si>
    <t>D-Formula:</t>
  </si>
  <si>
    <t xml:space="preserve">Directorate: </t>
  </si>
  <si>
    <t>ECON</t>
  </si>
  <si>
    <t>DEMO/Decennial</t>
  </si>
  <si>
    <r>
      <t>INSTRUCTIONS:</t>
    </r>
    <r>
      <rPr>
        <sz val="14"/>
        <color theme="1"/>
        <rFont val="Calibri (Body)"/>
      </rPr>
      <t xml:space="preserve"> </t>
    </r>
    <r>
      <rPr>
        <sz val="16"/>
        <color theme="1"/>
        <rFont val="Calibri"/>
        <family val="2"/>
        <scheme val="minor"/>
      </rPr>
      <t xml:space="preserve">
</t>
    </r>
    <r>
      <rPr>
        <sz val="14"/>
        <color theme="1"/>
        <rFont val="Calibri (Body)"/>
      </rPr>
      <t>(1) Select the Directorate from the drop-down below.  
(2) Select the appropriate Mode(s) from the drop-down below.  
(3) Click the 'HIDE COLUMNS' button.
To change the Directorate and/or Mode(s), click the 'UNHIDE COLUMNS' button first</t>
    </r>
  </si>
  <si>
    <t>DIRECTORATE:</t>
  </si>
  <si>
    <t>MODE(S):</t>
  </si>
  <si>
    <t>Type = All</t>
  </si>
  <si>
    <t>Type = Currency or Decimal</t>
  </si>
  <si>
    <t>Type = Currency, Decimal, or Number</t>
  </si>
  <si>
    <t>Type = Text, Currency, Decimal, EIN, Email, Number, PBA, Phone, ZIP, Time, or Text Area</t>
  </si>
  <si>
    <t>Type = Text, Text Area, or Email</t>
  </si>
  <si>
    <t>Type = ALL except Checkbox</t>
  </si>
  <si>
    <t>(ECON ONLY)
if loading to the Business Register</t>
  </si>
  <si>
    <t>ECON Directorate Surveys</t>
  </si>
  <si>
    <t>Demographic or Decennial Directorate Surveys</t>
  </si>
  <si>
    <t>Mode = Electronic</t>
  </si>
  <si>
    <t>Mode = Paper</t>
  </si>
  <si>
    <t>Variable Name *</t>
  </si>
  <si>
    <t>Context *</t>
  </si>
  <si>
    <t>Variable Sub Type *</t>
  </si>
  <si>
    <t>Mode *</t>
  </si>
  <si>
    <t>All Directorates</t>
  </si>
  <si>
    <t>Topic *</t>
  </si>
  <si>
    <t>Subtopic *</t>
  </si>
  <si>
    <t>Description *</t>
  </si>
  <si>
    <t>Variable Short Name</t>
  </si>
  <si>
    <t>Limit to Context</t>
  </si>
  <si>
    <t>SAS Name</t>
  </si>
  <si>
    <t>Number of Decimal Places *</t>
  </si>
  <si>
    <t>Minimum Value *</t>
  </si>
  <si>
    <t>Maximum Value *</t>
  </si>
  <si>
    <t>Max Length *</t>
  </si>
  <si>
    <t>Valid Character Set *</t>
  </si>
  <si>
    <t>Paper Valid Character Set *</t>
  </si>
  <si>
    <t>REGISTER LOAD TABLE CODE</t>
  </si>
  <si>
    <t>REGISTER DATA TYPE</t>
  </si>
  <si>
    <t>Instructions: Allowable Values/ Default Highlighted
NOTE:  This column should be left blank</t>
  </si>
  <si>
    <t>ABS 2024 Q#
MOPS 2021/
2024 New Q#</t>
  </si>
  <si>
    <t>Legacy Variable</t>
  </si>
  <si>
    <r>
      <t xml:space="preserve">Unique Name for Variable 
</t>
    </r>
    <r>
      <rPr>
        <i/>
        <sz val="9"/>
        <color theme="1"/>
        <rFont val="Calibri"/>
        <family val="2"/>
        <scheme val="minor"/>
      </rPr>
      <t>On upload, will verify with those already in database to ensure unique and alert to those that are not
NOTE: 
1) Variable Names should be all caps with no spaces
2) Variables can not end with _# or _## as those are reserved for handling of repeating persons.</t>
    </r>
  </si>
  <si>
    <t>Insert Context as defined in QDM to identify users allowed to update the variable.  Anyone can use the variable if 'Limit Context' is not assigned.  To assign more than one context separate by commas.</t>
  </si>
  <si>
    <r>
      <rPr>
        <i/>
        <sz val="9"/>
        <color rgb="FF000000"/>
        <rFont val="Calibri"/>
        <family val="2"/>
      </rPr>
      <t xml:space="preserve">Select the appropriate variable type, for definitions see the variable help sheet:
</t>
    </r>
    <r>
      <rPr>
        <sz val="9"/>
        <color rgb="FF000000"/>
        <rFont val="Calibri"/>
        <family val="2"/>
      </rPr>
      <t xml:space="preserve">CHECKBOX
CURRENCY
DATE
DECIMAL
DROPDOWN
EIN 
EMAIL
NUMBER
PBA
PHONE
RADIO BUTTON
TEXT
TEXTAREA
TIME
ZIP
</t>
    </r>
    <r>
      <rPr>
        <i/>
        <sz val="9"/>
        <color rgb="FF000000"/>
        <rFont val="Calibri"/>
        <family val="2"/>
      </rPr>
      <t>NOTE: EIN and PBA are only used in the ECON Directorate</t>
    </r>
  </si>
  <si>
    <t>For all variables assign:PAPER, INTERNET, CAPI, CATI</t>
  </si>
  <si>
    <r>
      <rPr>
        <i/>
        <sz val="9"/>
        <color theme="1"/>
        <rFont val="Calibri"/>
        <family val="2"/>
        <scheme val="minor"/>
      </rPr>
      <t xml:space="preserve">Is the variable valid for all directorates to use. 
NOTE: This is usually No. </t>
    </r>
    <r>
      <rPr>
        <sz val="9"/>
        <color theme="1"/>
        <rFont val="Calibri"/>
        <family val="2"/>
        <scheme val="minor"/>
      </rPr>
      <t xml:space="preserve">
Yes
No</t>
    </r>
  </si>
  <si>
    <t xml:space="preserve">Enter appropriate Topic to describe variable from the list of LOVs
NOTE:  See column 'D' in the LOVs tab for the complete unduplicated list of topics to be used for ECON Directorate Surveys
</t>
  </si>
  <si>
    <t xml:space="preserve">Based on topic selected, enter appropriate subtopic to define variable from the list of LOVs
NOTE:  See column 'F' in the LOVs tab for the complete list of subtopics to be used for ECON Directorate Surveys.  The subtopic selected must be the subset from the topic selected, which is shown in column 'E'
</t>
  </si>
  <si>
    <t xml:space="preserve">Enter appropriate Topic to describe variable from the list of LOVs
NOTE:  See column 'G' in the LOVs tab for the complete unduplicated list of topics to be used for Demographic and Decennial Directorate Surveys
</t>
  </si>
  <si>
    <t xml:space="preserve">Based on topic selected, enter appropriate subtopic to define variable from the list of LOVs
NOTE:  See column 'I' in the LOVs tab for the complete list of subtopics to be used for  Demographic and Decennial Directorate Surveys.  The subtopic selected must be the subset from the topic selected, which is shown in column 'H'
</t>
  </si>
  <si>
    <r>
      <t xml:space="preserve">Provide a brief description of the variable, this will alert staff entering content of its intended purpose
</t>
    </r>
    <r>
      <rPr>
        <i/>
        <sz val="9"/>
        <color theme="1"/>
        <rFont val="Calibri"/>
        <family val="2"/>
        <scheme val="minor"/>
      </rPr>
      <t>NOTE: Maximum number of characters should be 500</t>
    </r>
  </si>
  <si>
    <t>If the variable name is shortened for processing, assign the value here</t>
  </si>
  <si>
    <t>If the variable should not be available for any survey to use, add the context to which the variable should apply.  To assign more than one context separate by commas.
NOTE: This is generally used for reimbursable surveys where the variable should not be used by other Census Surveys.</t>
  </si>
  <si>
    <t xml:space="preserve">This is a carry over from SPIDER and used to defined the SAS variable used for the variable.  QDM does not provide this information to downstream systems, but reports can be pulled for survey review. 
Maximum Length is 100 characters. </t>
  </si>
  <si>
    <t>If variable sub type is Currency or Decimal, enter the number of values after the decimal.  NOTE: Must be greater than 0. and for Currency the value should either be 0 or 2.</t>
  </si>
  <si>
    <t>Assign the minimum value for the variable.  If including only positive values, the minimum value should be set equal to 0</t>
  </si>
  <si>
    <t>Assign the maximum value for the varaible.  NOTE: This must conform to the Length of the variable.  For example if the length = 3, can not have 99.99 as the maximum value.</t>
  </si>
  <si>
    <t>Provide the maximum length for the variable (Must be numeric)</t>
  </si>
  <si>
    <t>Select the character set to which would be allowed entry for this variable when used in electronic mode
NOTE:  See column 'J' in the LOVs tab for the complete list of electronic character sets</t>
  </si>
  <si>
    <t>Select the character set to which would be allowed entry for this variable when used in paper mode
NOTE:  See column 'K' in the LOVs tab for the complete list of electronic character sets</t>
  </si>
  <si>
    <t>For ECON Surveys loading to the Business Register assign the Business Register Load Table Code to load the variable.
B= Basic
I = Items
L = Lines
N = Notes
W = Write-ins</t>
  </si>
  <si>
    <t>For ECON Surveys loading to the Business Register assign Business Register Data Type for the variable.
CHARACTER
DATE
NUMERIC</t>
  </si>
  <si>
    <t>A.1</t>
  </si>
  <si>
    <t>B_OPR_CEASED</t>
  </si>
  <si>
    <t>OPSTAT_CEASED_STAT</t>
  </si>
  <si>
    <t>2026 ABS</t>
  </si>
  <si>
    <t>RADIO BUTTON</t>
  </si>
  <si>
    <t>INTERNET</t>
  </si>
  <si>
    <t>No</t>
  </si>
  <si>
    <t>Business Characteristic</t>
  </si>
  <si>
    <t>Operational Status</t>
  </si>
  <si>
    <t>Yes/No if business has ceased operation</t>
  </si>
  <si>
    <t>A.2.M</t>
  </si>
  <si>
    <t>B_CEASED_MONTH</t>
  </si>
  <si>
    <t>OPSTAT_CEASED_MONTH_DATE</t>
  </si>
  <si>
    <t>DROPDOWN</t>
  </si>
  <si>
    <t>Month the business ceased operation</t>
  </si>
  <si>
    <t>A.2.Y</t>
  </si>
  <si>
    <t xml:space="preserve">B_CEASED_DATE_ YEAR </t>
  </si>
  <si>
    <t>OPSTAT_CEASED_YEAR_DATE</t>
  </si>
  <si>
    <t>NUMBER</t>
  </si>
  <si>
    <t>Year the business ceased operation</t>
  </si>
  <si>
    <t>A.3</t>
  </si>
  <si>
    <t>B_PARENTCO_FOREIGN</t>
  </si>
  <si>
    <t>OWNED_FOREIGN_STAT</t>
  </si>
  <si>
    <t>Ownership Information</t>
  </si>
  <si>
    <t>Yes/No if business is a majority-owned subsidiary of a foreign company</t>
  </si>
  <si>
    <t>A.4</t>
  </si>
  <si>
    <t>B_PARENTCO_DOMESTIC</t>
  </si>
  <si>
    <t>OWNED_DOMESTIC_STAT</t>
  </si>
  <si>
    <t>Yes/No if business is more than 50% owned by another U.S. company</t>
  </si>
  <si>
    <t>A.5</t>
  </si>
  <si>
    <t>B_OWNED_GOVT_TRIBAL</t>
  </si>
  <si>
    <t>OWNED_GOV_TRIBAL_STAT</t>
  </si>
  <si>
    <t>Yes/No if business is owned by a government or tribal entity</t>
  </si>
  <si>
    <t>A.6</t>
  </si>
  <si>
    <t>B_ANYONE_10_PCT</t>
  </si>
  <si>
    <t>OWNED_10_PCT_STAT</t>
  </si>
  <si>
    <t>Yes/No if one person owns 10% or more of the company</t>
  </si>
  <si>
    <t>A.7</t>
  </si>
  <si>
    <t>B_OWNERNUM</t>
  </si>
  <si>
    <t>OWNER_NUM_STAT</t>
  </si>
  <si>
    <t>Number of owners of the business</t>
  </si>
  <si>
    <t>A.8.a.</t>
  </si>
  <si>
    <t xml:space="preserve">B_EMPNUM_W2_OWNER </t>
  </si>
  <si>
    <t>EMP_W2_OWNER_NUM</t>
  </si>
  <si>
    <t>Number of owners who received a W2 from this business</t>
  </si>
  <si>
    <t>A.8.b</t>
  </si>
  <si>
    <t xml:space="preserve">B_EMPNUM_W2_NON_OWNER </t>
  </si>
  <si>
    <t>EMP_W2_NONOWNER_NUM</t>
  </si>
  <si>
    <t>Employees</t>
  </si>
  <si>
    <t>Number of employees who received a W2 from this business</t>
  </si>
  <si>
    <t>A.8.TOT</t>
  </si>
  <si>
    <t>B_EMPNUM_W2_TOTAL</t>
  </si>
  <si>
    <t>EMP_W2_TOT_DNUM</t>
  </si>
  <si>
    <t>Total number of W2 paid employees and owners</t>
  </si>
  <si>
    <t>A.9.a</t>
  </si>
  <si>
    <t xml:space="preserve">B_EMPNUM_PAID_OTHER_WAY </t>
  </si>
  <si>
    <t>EMP_PAIDOTH_NUM</t>
  </si>
  <si>
    <t>Number of owners and employees who received a W2 from this business</t>
  </si>
  <si>
    <t>A.9.b</t>
  </si>
  <si>
    <t>B_EMPNUM_UNPAID</t>
  </si>
  <si>
    <t>EMP_UNPAID_NUM</t>
  </si>
  <si>
    <t>Number of individuals who did work for the business but were unpaid</t>
  </si>
  <si>
    <t>A.10</t>
  </si>
  <si>
    <t xml:space="preserve">B_SALES_TOT </t>
  </si>
  <si>
    <t>RCPT_ALL_TOT_VAL</t>
  </si>
  <si>
    <t>CURRENCY</t>
  </si>
  <si>
    <t>Revenue</t>
  </si>
  <si>
    <t>Products</t>
  </si>
  <si>
    <t>Amount of worldwide and domestic sales, revenue, and grants</t>
  </si>
  <si>
    <t>A.11</t>
  </si>
  <si>
    <t>B_SALES_TOT_US</t>
  </si>
  <si>
    <t>SALES_US_TOT_VAL</t>
  </si>
  <si>
    <t>Amount of sales, revenue, and grants from domestic operations</t>
  </si>
  <si>
    <t>A.12.a</t>
  </si>
  <si>
    <t>B_SALES_PCT_GOODS</t>
  </si>
  <si>
    <t>SALES_GOODS_PCT</t>
  </si>
  <si>
    <t>Percent of domestic sales, revenues, and grants coming from selling goods to customers</t>
  </si>
  <si>
    <t>A.12.b</t>
  </si>
  <si>
    <t>B_SALES_PCT_SERVICE</t>
  </si>
  <si>
    <t>SALES_SERVICE_PCT</t>
  </si>
  <si>
    <t>Percent of domestic sales, revenues, and grants coming from selling services to customers</t>
  </si>
  <si>
    <t>A.12.c</t>
  </si>
  <si>
    <t>B_SALES_PCT_LICENSE</t>
  </si>
  <si>
    <t>SALES_LICENSES_PCT</t>
  </si>
  <si>
    <t>Operating</t>
  </si>
  <si>
    <t>A.12.d</t>
  </si>
  <si>
    <t>B_SALES_PCT_GRANT</t>
  </si>
  <si>
    <t>SALES_GRANT_PCT</t>
  </si>
  <si>
    <t>Contributions, Gifts, and Grants</t>
  </si>
  <si>
    <t>A.12.e</t>
  </si>
  <si>
    <t>B_SALES_PCT_OTH</t>
  </si>
  <si>
    <t>SALES_OTH_PCT</t>
  </si>
  <si>
    <t>A.12.WIN</t>
  </si>
  <si>
    <t>B_SALES_PCT_US_TOT</t>
  </si>
  <si>
    <t>SALES_US_TOT_DPCT</t>
  </si>
  <si>
    <t>Write-in of other sales, revenue, and grant sourcesTotal percent entered from domestic sales questions</t>
  </si>
  <si>
    <t>A.12.TOT</t>
  </si>
  <si>
    <t>B_SALES_PCT_OTH_WIN</t>
  </si>
  <si>
    <t>SALES_OTH_WRTIN_TXT</t>
  </si>
  <si>
    <t>Total percent entered from domestic sales questions</t>
  </si>
  <si>
    <t>A.13</t>
  </si>
  <si>
    <t xml:space="preserve">B_REV </t>
  </si>
  <si>
    <t>CUST_TYPE_10_PCT_SALES_CHKBOX</t>
  </si>
  <si>
    <t>CHECKBOX</t>
  </si>
  <si>
    <t>Manufacturing and Production</t>
  </si>
  <si>
    <t>Class of Customer</t>
  </si>
  <si>
    <t>Types of customers that accounted for 10% or more of total sales</t>
  </si>
  <si>
    <t>A.14</t>
  </si>
  <si>
    <t>B_TYPS_WRKS</t>
  </si>
  <si>
    <t>WRKR_TYPE_CHKBOX</t>
  </si>
  <si>
    <t>Types of workers that were used by the business</t>
  </si>
  <si>
    <t>A.15</t>
  </si>
  <si>
    <t xml:space="preserve">B_OPR_FRANCHISED </t>
  </si>
  <si>
    <t>FRANCHISED_STAT</t>
  </si>
  <si>
    <t>Business Classification</t>
  </si>
  <si>
    <t>Franchise</t>
  </si>
  <si>
    <t>Yes/No if all or part of the business operates as a franchise</t>
  </si>
  <si>
    <t>A.16</t>
  </si>
  <si>
    <t>B_CRDAP</t>
  </si>
  <si>
    <t>CREDIT_APPS_STAT</t>
  </si>
  <si>
    <t>Expense</t>
  </si>
  <si>
    <t>Yes/No if the business submitted an application for new credit</t>
  </si>
  <si>
    <t>A.17</t>
  </si>
  <si>
    <t>B_CRDSRC</t>
  </si>
  <si>
    <t>CREDIT_SOURCES_CHKBOX</t>
  </si>
  <si>
    <t>Other sources of credit not listed</t>
  </si>
  <si>
    <t>A.17.WIN</t>
  </si>
  <si>
    <t>B_CRDSRC_OTHER_WIN</t>
  </si>
  <si>
    <t>CREDIT_SRCS_OTH_WRTIN_TXT</t>
  </si>
  <si>
    <t>TEXT</t>
  </si>
  <si>
    <t xml:space="preserve">Write-in of what lenders the business applied for new credit with </t>
  </si>
  <si>
    <t>['0'..'9','A'..'Z','a'..'z','&amp;','#','-','/','\','?','@',''','_','^','!','*','$','(',')','[',']','|','&lt;','&gt;',':',';','.',',',' ','%','+','=','~','"','{','}','`']</t>
  </si>
  <si>
    <t>A.18</t>
  </si>
  <si>
    <t>B_CRDAMT</t>
  </si>
  <si>
    <t>CREDIT_AMT_RECEIVED_STAT</t>
  </si>
  <si>
    <t xml:space="preserve">Total amount of credit that was requested and received </t>
  </si>
  <si>
    <t>A.19</t>
  </si>
  <si>
    <t xml:space="preserve">B_WORKHOME </t>
  </si>
  <si>
    <t>WORK_HOME_STAT</t>
  </si>
  <si>
    <t>Yes/No if the business allowed any employees to work from home</t>
  </si>
  <si>
    <t>A.20.a</t>
  </si>
  <si>
    <t>B_WORKHOME_PCT_NEVER</t>
  </si>
  <si>
    <t>WORK_HOME_NEVER_PCT</t>
  </si>
  <si>
    <t xml:space="preserve">Percent of workers that never worked from home </t>
  </si>
  <si>
    <t>A.20.b</t>
  </si>
  <si>
    <t>B_WORKHOME_PCT_OCCASIO</t>
  </si>
  <si>
    <t>WORK_HOME_LT_ONE_PCT</t>
  </si>
  <si>
    <t>Percent of workers that worked from home less than one day per week</t>
  </si>
  <si>
    <t>A.20.c</t>
  </si>
  <si>
    <t xml:space="preserve">B_WORKHOME_PCT_ONE </t>
  </si>
  <si>
    <t>WORK_HOME_ONE_PCT</t>
  </si>
  <si>
    <t xml:space="preserve">Percent of workers that worked from home one day per week </t>
  </si>
  <si>
    <t>A.20.d</t>
  </si>
  <si>
    <t>B_WORKHOME_PCT_TWO</t>
  </si>
  <si>
    <t>WORK_HOME_TWO_PCT</t>
  </si>
  <si>
    <t>Percent of workers that worked from home two to four days per week</t>
  </si>
  <si>
    <t>A.20.e</t>
  </si>
  <si>
    <t xml:space="preserve">B_WORKHOME_PCT_FIVE </t>
  </si>
  <si>
    <t>WORK_HOME_FIVE_PCT</t>
  </si>
  <si>
    <t>Percent of workers that worked from home five or more days per weTotal percent entered from work from home questionsek</t>
  </si>
  <si>
    <t>A.20.TOT</t>
  </si>
  <si>
    <t>B_WORKHOME_PCT_TOTAL</t>
  </si>
  <si>
    <t>WORK_HOME_TOT_PCT</t>
  </si>
  <si>
    <t>Total percent entered from work from home questions</t>
  </si>
  <si>
    <t>A.21</t>
  </si>
  <si>
    <t>B_WORKHOME_FCT</t>
  </si>
  <si>
    <t>WORK_HOME_PCT</t>
  </si>
  <si>
    <t>List of factors that limit the ability of the mployees to work from home</t>
  </si>
  <si>
    <t>A.21.WIN</t>
  </si>
  <si>
    <t>B_WORKHOME_FCT_WI</t>
  </si>
  <si>
    <t>WORK_HOME_WRTIN_TXT</t>
  </si>
  <si>
    <t>Write-in of whether the following factors limited the ability of employees to work from home</t>
  </si>
  <si>
    <t>A.22</t>
  </si>
  <si>
    <t>RESP_BUS_DESC</t>
  </si>
  <si>
    <t>NAICS_DESC_TXT</t>
  </si>
  <si>
    <t>TEXTAREA</t>
  </si>
  <si>
    <t>Business Activity</t>
  </si>
  <si>
    <t>Primary business activity</t>
  </si>
  <si>
    <t>B.1.a</t>
  </si>
  <si>
    <t>O1_NAME_TITLE</t>
  </si>
  <si>
    <t>OWNER1_NAME</t>
  </si>
  <si>
    <t>Name of first owner</t>
  </si>
  <si>
    <t>B.1.b</t>
  </si>
  <si>
    <t>O1_PCT_OWNED </t>
  </si>
  <si>
    <t>OWNER1_PCT</t>
  </si>
  <si>
    <t>Percent owned by first owner</t>
  </si>
  <si>
    <t>B.1.c</t>
  </si>
  <si>
    <t>O2_NAME_TITLE</t>
  </si>
  <si>
    <t>OWNER2_NAME</t>
  </si>
  <si>
    <t>Name of second owner</t>
  </si>
  <si>
    <t>B.1.d</t>
  </si>
  <si>
    <t>O2_PCT_OWNED</t>
  </si>
  <si>
    <t>OWNER2_PCT</t>
  </si>
  <si>
    <t>Percent owned by second owner</t>
  </si>
  <si>
    <t>B.1.e</t>
  </si>
  <si>
    <t>O3_NAME_TITLE</t>
  </si>
  <si>
    <t>OWNER3_NAME</t>
  </si>
  <si>
    <t>Name of third owner</t>
  </si>
  <si>
    <t>B.1.f</t>
  </si>
  <si>
    <t>O3_PCT_OWNED </t>
  </si>
  <si>
    <t>OWNER3_PCT</t>
  </si>
  <si>
    <t>Percent owned by third owner</t>
  </si>
  <si>
    <t>B.1.g</t>
  </si>
  <si>
    <t>O4_NAME_TITLE</t>
  </si>
  <si>
    <t>OWNER4_NAME</t>
  </si>
  <si>
    <t>Name of fourth owner</t>
  </si>
  <si>
    <t>B.1.h</t>
  </si>
  <si>
    <t>O4_PCT_OWNED </t>
  </si>
  <si>
    <t>OWNER4_PCT</t>
  </si>
  <si>
    <t>Percent owned by fourth owner</t>
  </si>
  <si>
    <t>B.1.1</t>
  </si>
  <si>
    <t>O1_SEX </t>
  </si>
  <si>
    <t>OWNER_SEX_CODE</t>
  </si>
  <si>
    <t>Sex of first owner</t>
  </si>
  <si>
    <t>B.1.2</t>
  </si>
  <si>
    <t>O1_GENDER </t>
  </si>
  <si>
    <t>OWNER_GENDER_CODE</t>
  </si>
  <si>
    <t>B.1.2.WIN</t>
  </si>
  <si>
    <t>O1_GENDER_WIN</t>
  </si>
  <si>
    <t>OWNER_GENDER_WRTIN_TXT</t>
  </si>
  <si>
    <t>Different gender term</t>
  </si>
  <si>
    <t>B.1.3</t>
  </si>
  <si>
    <t>O1_HISP</t>
  </si>
  <si>
    <t>OWNER_ETHNICITY_CODE</t>
  </si>
  <si>
    <t>Whether the first owner is Hispanic, Latino, or Spanish</t>
  </si>
  <si>
    <t>B.1.3.WIN</t>
  </si>
  <si>
    <t>O1_HISP_OTH_WIN</t>
  </si>
  <si>
    <t>OWNER_ETHNICITY_WRTIN_TXT</t>
  </si>
  <si>
    <t>Another Hispanic, Latino, or Spanish origin not listed</t>
  </si>
  <si>
    <t>B.1.4</t>
  </si>
  <si>
    <t>O1_RACE</t>
  </si>
  <si>
    <t>OWNER_RACE_CODE</t>
  </si>
  <si>
    <t>Race of first owner</t>
  </si>
  <si>
    <t>B.1.4.WIN</t>
  </si>
  <si>
    <t>O1_RACE_WHITE_WIN</t>
  </si>
  <si>
    <t>O1_RACE_BLACK_WIN</t>
  </si>
  <si>
    <t>O1_RACE_AIAN_WIN</t>
  </si>
  <si>
    <t>O1_RACE_OTH_AS_WIN</t>
  </si>
  <si>
    <t>O1_RACE_OTH_PAC_WIN</t>
  </si>
  <si>
    <t>B.1.5</t>
  </si>
  <si>
    <t>O1_VET </t>
  </si>
  <si>
    <t>OWNER_MILITARY SERV_STAT</t>
  </si>
  <si>
    <t>Yes/No if the first owner has served in the military</t>
  </si>
  <si>
    <t>B.1.6</t>
  </si>
  <si>
    <t>O1_VET_DISABLED</t>
  </si>
  <si>
    <t>OWNER_VET_DISABLED_STAT</t>
  </si>
  <si>
    <t>Yes/No if the first owner is disabled as a result of military service</t>
  </si>
  <si>
    <t>B.1.7</t>
  </si>
  <si>
    <t>O1_VET_SPECIFY</t>
  </si>
  <si>
    <t>OWNER_OTHER MILITARY SERV_CODE</t>
  </si>
  <si>
    <t>Characteristics of first owner's military service</t>
  </si>
  <si>
    <t>B.1.8</t>
  </si>
  <si>
    <t>O1_ACQ_BUS_YR</t>
  </si>
  <si>
    <t>OWNER_ACQ_YEAR</t>
  </si>
  <si>
    <t>Year that the first owner initially acquired this business</t>
  </si>
  <si>
    <t>B.1.8.DK</t>
  </si>
  <si>
    <t xml:space="preserve">O1_ACQ_BUS_YR_DK  </t>
  </si>
  <si>
    <t>O1_ACQ_BUS_YR_CODE</t>
  </si>
  <si>
    <t>Owner 1 does not know when initially acquired ownership of this business</t>
  </si>
  <si>
    <t>B.1.9</t>
  </si>
  <si>
    <t>O1_PRIM_SRC_INCOM</t>
  </si>
  <si>
    <t>PRIM_SRC_INCOM_CODE</t>
  </si>
  <si>
    <t>Yes/No if the business provided the first owner's primary source of persStatus of the previous business, other than this one, that the first owner startedonal income</t>
  </si>
  <si>
    <t>B.1.10</t>
  </si>
  <si>
    <t>O1_OTH_BUS</t>
  </si>
  <si>
    <t>PREV_BUS_OWN_CODE</t>
  </si>
  <si>
    <t>Status of the previous business, other than this one, that the first owner started</t>
  </si>
  <si>
    <t>B.1.10.WIN</t>
  </si>
  <si>
    <t>O1_OTH_BUS_WIN</t>
  </si>
  <si>
    <t>PREV_BUS_OWN_TXT</t>
  </si>
  <si>
    <t>Other status of the previous business Owner 1 started most recently</t>
  </si>
  <si>
    <t>B.1.11</t>
  </si>
  <si>
    <t>O1_EDUC </t>
  </si>
  <si>
    <t>EDU_PREV_OWN_CODE</t>
  </si>
  <si>
    <t>Highest degree achieved by the first owner prior to owning this business</t>
  </si>
  <si>
    <t>B.1.12</t>
  </si>
  <si>
    <t>O1_MAJOR</t>
  </si>
  <si>
    <t>EDU_CODE</t>
  </si>
  <si>
    <t>Field of the highest degree achieved by the first owner prior to owning this business</t>
  </si>
  <si>
    <t>B.1.12.WIN.OTHSCI</t>
  </si>
  <si>
    <t>O1_MAJOR_OTHSCI_WIN</t>
  </si>
  <si>
    <t>EDU_CODE_MAJOR_OTHSCI_TXT</t>
  </si>
  <si>
    <t>Other science and engineering related fields that are not listed</t>
  </si>
  <si>
    <t>B.1.12.WIN.NONSCI</t>
  </si>
  <si>
    <t>O1_MAJOR_NONSCI_WIN</t>
  </si>
  <si>
    <t>EDU_CODE_MAJOR_NONSCI_TXT</t>
  </si>
  <si>
    <t>Other non-science and engineering related fields that are not listed</t>
  </si>
  <si>
    <t>B.1.13</t>
  </si>
  <si>
    <t xml:space="preserve">O1_AGE </t>
  </si>
  <si>
    <t>OWNER_AGE_CODE</t>
  </si>
  <si>
    <t>Age of first owner</t>
  </si>
  <si>
    <t>B.1.14</t>
  </si>
  <si>
    <t>O1_US_BORN</t>
  </si>
  <si>
    <t>OWNER_BORN_US_STAT</t>
  </si>
  <si>
    <t>Yes/No if first owner was born in the US</t>
  </si>
  <si>
    <t>B.1.15</t>
  </si>
  <si>
    <t>O1_US_CITIZEN</t>
  </si>
  <si>
    <t>US_CITIZEN_STAT</t>
  </si>
  <si>
    <t>Yes/No if the first owner is a citizen of the US</t>
  </si>
  <si>
    <t>B.1.16</t>
  </si>
  <si>
    <t>O1_OWNER_DISABLE</t>
  </si>
  <si>
    <t>OWNER_DISABILITY_CODE</t>
  </si>
  <si>
    <t>Disability status of the first owner</t>
  </si>
  <si>
    <t>B.1.17.a</t>
  </si>
  <si>
    <t>O1_REASON_OWNBOSS </t>
  </si>
  <si>
    <t>OWNING_REASON_OWNBOSS_CODE</t>
  </si>
  <si>
    <t>Reason for owning business: Being their own boss</t>
  </si>
  <si>
    <t>B.1.17.b</t>
  </si>
  <si>
    <t>O1_REASON_FLEXIBLEHRS</t>
  </si>
  <si>
    <t>OWNING_REASON_FLEXIBLEHRS_CODE</t>
  </si>
  <si>
    <t>Reason for owning business: Flexible hours</t>
  </si>
  <si>
    <t>B.1.17.c</t>
  </si>
  <si>
    <t>O1_REASON_BALANCE</t>
  </si>
  <si>
    <t>OWNING_REASON_BALANCE_CODE</t>
  </si>
  <si>
    <t>Reason for owning business: Balancing work and family</t>
  </si>
  <si>
    <t>B.1.17.d</t>
  </si>
  <si>
    <t>O1_REASON_INCOME</t>
  </si>
  <si>
    <t>OWNING_REASON_INCOME_CODE</t>
  </si>
  <si>
    <t>Reason for owning business: Opportunity for greater income</t>
  </si>
  <si>
    <t>B.1.17.e</t>
  </si>
  <si>
    <t>O1_REASON_IDEAS</t>
  </si>
  <si>
    <t>OWNING_REASON_IDEAS_CODE</t>
  </si>
  <si>
    <t>Reason for owning business: Best avenue for ideas/goods/services</t>
  </si>
  <si>
    <t>B.1.17.f</t>
  </si>
  <si>
    <t>O1_REASON_FINDJOB</t>
  </si>
  <si>
    <t>OWNING_REASON_FINDJOB_CODE</t>
  </si>
  <si>
    <t>Reason for owning business: Unable to find employment</t>
  </si>
  <si>
    <t>B.1.17.g</t>
  </si>
  <si>
    <t>O1_REASON_WORKFORSELF</t>
  </si>
  <si>
    <t>OWNING_REASON_WORKFORSELF_CODE</t>
  </si>
  <si>
    <t>Reason for owning business: Working for someone else was unappealing</t>
  </si>
  <si>
    <t>B.1.17.h</t>
  </si>
  <si>
    <t>O1_REASON_STARTBUS</t>
  </si>
  <si>
    <t>OWNING_REASON_STARTBUS_CODE</t>
  </si>
  <si>
    <t>Reason for owning business: Always wanted to start a business</t>
  </si>
  <si>
    <t>B.1.17.i</t>
  </si>
  <si>
    <t>O1_REASON_ROLEMODEL</t>
  </si>
  <si>
    <t>OWNING_REASON_ROLEMODEL_CODE</t>
  </si>
  <si>
    <t>Reason for owning business: Entrepreneurial friend or family was a role model</t>
  </si>
  <si>
    <t>B.1.17.j</t>
  </si>
  <si>
    <t>O1_REASON_FAMBUS </t>
  </si>
  <si>
    <t>OWNING_REASON_FAMBUS _CODE</t>
  </si>
  <si>
    <t>Reason for owning business: Carrying on family business</t>
  </si>
  <si>
    <t>B.1.17.k</t>
  </si>
  <si>
    <t>O1_REASON_COMM  </t>
  </si>
  <si>
    <t>OWNING_REASON_COMM _CODE</t>
  </si>
  <si>
    <t xml:space="preserve">Reason for owning business: Helping community </t>
  </si>
  <si>
    <t>B.1.17.l</t>
  </si>
  <si>
    <t>O1_REASON_OTHER</t>
  </si>
  <si>
    <t>OWNING_REASON_OTHER_CODE</t>
  </si>
  <si>
    <t>Reason for owning business: Other</t>
  </si>
  <si>
    <t>B.1.17.WIN</t>
  </si>
  <si>
    <t xml:space="preserve">O1_REASON_OTHER_WIN </t>
  </si>
  <si>
    <t>OWNING_REASON_OTH_WRTIN_TXT</t>
  </si>
  <si>
    <t>B.5</t>
  </si>
  <si>
    <t>B_FAMILY_OWNED </t>
  </si>
  <si>
    <t>FAM_OWNED_STAT</t>
  </si>
  <si>
    <t>Yes/No if two or more members of one family owned the majority of this business</t>
  </si>
  <si>
    <t>B.6</t>
  </si>
  <si>
    <t>B_JOINTLY_OWNED</t>
  </si>
  <si>
    <t>JOINT_OWNED_STAT</t>
  </si>
  <si>
    <t>Yes/No if spouses or unmarried partners jointly owned this business</t>
  </si>
  <si>
    <t>B.7</t>
  </si>
  <si>
    <t>B_OPR </t>
  </si>
  <si>
    <t>EQUAL_OP_CODE</t>
  </si>
  <si>
    <t>Business operated equally by both spouses or unmarried partners</t>
  </si>
  <si>
    <t xml:space="preserve">C.1 </t>
  </si>
  <si>
    <t>B_INNOV_GOODS</t>
  </si>
  <si>
    <t>NEW_IMPROVE_GOODS_STAT</t>
  </si>
  <si>
    <t>Whether the business introduced new or improved goods</t>
  </si>
  <si>
    <t xml:space="preserve">C.2 </t>
  </si>
  <si>
    <t>B_INNOV_SERV</t>
  </si>
  <si>
    <t>NEW_IMPROVE_SERVICES_STAT</t>
  </si>
  <si>
    <t>Whether the business introduced new or improved services</t>
  </si>
  <si>
    <t>C.3</t>
  </si>
  <si>
    <t>B_INNOV_SOURCE</t>
  </si>
  <si>
    <t>DEVELOPER_STAT</t>
  </si>
  <si>
    <t>Who developed the new or improved goods or services</t>
  </si>
  <si>
    <t>C.4.a</t>
  </si>
  <si>
    <t>B_IMPROCESS_MAN </t>
  </si>
  <si>
    <t>IMPROCESS_MAN_STAT</t>
  </si>
  <si>
    <t>Performance Indicators</t>
  </si>
  <si>
    <t>Whether the business introduced new or improved methods for producing goods or providing services</t>
  </si>
  <si>
    <t>C.4.b</t>
  </si>
  <si>
    <t>B_IMPROCESS_LOG </t>
  </si>
  <si>
    <t>IMPROCESS_LOG_STAT </t>
  </si>
  <si>
    <t>Whether the business introduced new or improved methods for logistics, delivery or distribution methods</t>
  </si>
  <si>
    <t>C.4.c</t>
  </si>
  <si>
    <t>B_IMPROCESS_MARKET </t>
  </si>
  <si>
    <t>IMPROCESS_MARKET_STAT</t>
  </si>
  <si>
    <t>Whether the business introduced new or improved methods for marketing methods</t>
  </si>
  <si>
    <t>C.4.d</t>
  </si>
  <si>
    <t>B_IMPROCESS_INFO</t>
  </si>
  <si>
    <t>IMPROCESS_INFO_STAT</t>
  </si>
  <si>
    <t>Whether the business introduced new or improved methods for information and communication systems</t>
  </si>
  <si>
    <t>C.4.e</t>
  </si>
  <si>
    <t>B_IMPROCESS_ADMIN </t>
  </si>
  <si>
    <t>IMPROCESS_ADMIN_STAT</t>
  </si>
  <si>
    <t>Whether the business introduced new or improved methods for administration and management activities</t>
  </si>
  <si>
    <t>C.4.f</t>
  </si>
  <si>
    <t>B_IMPROCESS_PROD </t>
  </si>
  <si>
    <t>IMPROCESS_PROD_STAT </t>
  </si>
  <si>
    <t>Whether the business introduced new or improved methods for product and business process development activities</t>
  </si>
  <si>
    <t>C.5</t>
  </si>
  <si>
    <t>B_IMPROCESS_DEV </t>
  </si>
  <si>
    <t>IMPROCESS_DEV_STAT</t>
  </si>
  <si>
    <t xml:space="preserve">Who developed new or improved business processes </t>
  </si>
  <si>
    <t>C.6.a</t>
  </si>
  <si>
    <t>B_RD_CREATE</t>
  </si>
  <si>
    <t>RD_CREATE_STAT</t>
  </si>
  <si>
    <t>Yes/No if business engaged in research and development</t>
  </si>
  <si>
    <t>C.6.b</t>
  </si>
  <si>
    <t>B_RD_ALTER_DESIGN</t>
  </si>
  <si>
    <t>RD_ALTER_DESIGN_STAT</t>
  </si>
  <si>
    <t>Yes/No if business engaged in engineering and design activities</t>
  </si>
  <si>
    <t>C.6.c</t>
  </si>
  <si>
    <t>B_RD_MRKT_RESRCH</t>
  </si>
  <si>
    <t>RD_MRKT_RESRCH_STAT</t>
  </si>
  <si>
    <t>Yes/No if business engaged in marketing and brand equity activities</t>
  </si>
  <si>
    <t>C.6.d</t>
  </si>
  <si>
    <t>B_RD_IP</t>
  </si>
  <si>
    <t>RD_IP_STAT</t>
  </si>
  <si>
    <t>Yes/No if business engaged in IP related activities</t>
  </si>
  <si>
    <t>C.6.e</t>
  </si>
  <si>
    <t>B_RD_TRAINING</t>
  </si>
  <si>
    <t>RD_TRAINING_STAT</t>
  </si>
  <si>
    <t>Yes/No if business engaged in employee training</t>
  </si>
  <si>
    <t>C.6.f</t>
  </si>
  <si>
    <t>B_RD_DATA </t>
  </si>
  <si>
    <t>RD_DATA_STAT</t>
  </si>
  <si>
    <t>Yes/No if business engaged in software development and database activities</t>
  </si>
  <si>
    <t>C.6.g</t>
  </si>
  <si>
    <t>B_RD_MACHINE</t>
  </si>
  <si>
    <t>RD_MACHINE_STAT</t>
  </si>
  <si>
    <t>Yes/No if business engaged in acquisition of machinery, equipment, or other tangible assets</t>
  </si>
  <si>
    <t>C.6.h</t>
  </si>
  <si>
    <t>B_RD_MANAGE</t>
  </si>
  <si>
    <t>RD_MANAGE_STAT</t>
  </si>
  <si>
    <t>Yes/No if business engaged in management related to innovation</t>
  </si>
  <si>
    <t>C.7.a</t>
  </si>
  <si>
    <t>B_COOP_RD </t>
  </si>
  <si>
    <t>COOP_RD_STAT </t>
  </si>
  <si>
    <t>Yes/No if business cooperated with other businesses or organizations on R&amp;D</t>
  </si>
  <si>
    <t>C.7.b</t>
  </si>
  <si>
    <t>B_COOP_OTH</t>
  </si>
  <si>
    <t>COOP_OTH_STAT</t>
  </si>
  <si>
    <t>Yes/No if business cooperated with other businesses or organizations on non-R&amp;D innovation</t>
  </si>
  <si>
    <t>C.7.c</t>
  </si>
  <si>
    <t>B_COOP_OTH_BUS</t>
  </si>
  <si>
    <t>COOP_OTH_BUS_STAT</t>
  </si>
  <si>
    <t>Yes/No if business cooperated with other businesses or organizations on any other business activities</t>
  </si>
  <si>
    <t>C.8.a</t>
  </si>
  <si>
    <t>B_COOP</t>
  </si>
  <si>
    <t>COOP_PARTNER_LOC_CHKBOX</t>
  </si>
  <si>
    <t xml:space="preserve">Consultants, commercial labs, or private research institutes outside the business group </t>
  </si>
  <si>
    <t>C.8.b</t>
  </si>
  <si>
    <t xml:space="preserve">Suppliers of equipment, materials, components, or software outside your business group </t>
  </si>
  <si>
    <t>C.8.c</t>
  </si>
  <si>
    <t>Companies that are the clients or customers outside the business group</t>
  </si>
  <si>
    <t>C.8.d</t>
  </si>
  <si>
    <t xml:space="preserve">Companies that are your competitors outside the business group </t>
  </si>
  <si>
    <t>C.8.e</t>
  </si>
  <si>
    <r>
      <t>Other companies outside the business group</t>
    </r>
    <r>
      <rPr>
        <b/>
        <sz val="12"/>
        <color rgb="FF7030A0"/>
        <rFont val="Calibri"/>
        <family val="2"/>
        <scheme val="minor"/>
      </rPr>
      <t xml:space="preserve"> </t>
    </r>
  </si>
  <si>
    <t>C.8.f</t>
  </si>
  <si>
    <r>
      <t>Companieswithin the business group</t>
    </r>
    <r>
      <rPr>
        <b/>
        <sz val="12"/>
        <color rgb="FF7030A0"/>
        <rFont val="Calibri"/>
        <family val="2"/>
        <scheme val="minor"/>
      </rPr>
      <t xml:space="preserve"> </t>
    </r>
  </si>
  <si>
    <t>C.8.g</t>
  </si>
  <si>
    <r>
      <t>Universities or other higher education institutions</t>
    </r>
    <r>
      <rPr>
        <b/>
        <sz val="12"/>
        <color rgb="FF7030A0"/>
        <rFont val="Calibri"/>
        <family val="2"/>
        <scheme val="minor"/>
      </rPr>
      <t xml:space="preserve"> </t>
    </r>
  </si>
  <si>
    <t>C.8.h</t>
  </si>
  <si>
    <r>
      <t>Government or public research institutes</t>
    </r>
    <r>
      <rPr>
        <b/>
        <sz val="12"/>
        <color rgb="FF7030A0"/>
        <rFont val="Calibri"/>
        <family val="2"/>
        <scheme val="minor"/>
      </rPr>
      <t xml:space="preserve"> </t>
    </r>
  </si>
  <si>
    <t>C.8.i</t>
  </si>
  <si>
    <r>
      <t>Clients or customers from the public sector: public sector includes government owned organizations such as local, regional and national administrations and agencies, schools, hospitals, and government providers of services such as security, transport, housing, energy, etc.</t>
    </r>
    <r>
      <rPr>
        <b/>
        <sz val="12"/>
        <color rgb="FF7030A0"/>
        <rFont val="Calibri"/>
        <family val="2"/>
        <scheme val="minor"/>
      </rPr>
      <t xml:space="preserve"> </t>
    </r>
  </si>
  <si>
    <t>C.8.j</t>
  </si>
  <si>
    <r>
      <t>Nonprofit organization</t>
    </r>
    <r>
      <rPr>
        <b/>
        <sz val="12"/>
        <color rgb="FF7030A0"/>
        <rFont val="Calibri"/>
        <family val="2"/>
        <scheme val="minor"/>
      </rPr>
      <t xml:space="preserve"> </t>
    </r>
  </si>
  <si>
    <t>C.9</t>
  </si>
  <si>
    <t>B_NOINNOV</t>
  </si>
  <si>
    <t>NOINNOV_STAT</t>
  </si>
  <si>
    <t>Why the business did not have innovation activities</t>
  </si>
  <si>
    <t>C.10.a</t>
  </si>
  <si>
    <t>B_NORESULT_STOP </t>
  </si>
  <si>
    <t>NORESULT_STOP_STAT</t>
  </si>
  <si>
    <t>Yes/No if innovation activities didn't result in outcome because activities were abandoned</t>
  </si>
  <si>
    <t>C.10.b</t>
  </si>
  <si>
    <t>B_NORESULT_ONGOING</t>
  </si>
  <si>
    <t>NORESULT_ONGOING_STAT</t>
  </si>
  <si>
    <t>Yes/No if innovation activities didn't result in outcome because activities are still ongoing</t>
  </si>
  <si>
    <t>C.11</t>
  </si>
  <si>
    <t>B_NEWCUSTSTART </t>
  </si>
  <si>
    <t>NEW_CUST_PROD_START_STAT</t>
  </si>
  <si>
    <t>Yes/No if business was founded around a new/customized product or service created by a founder</t>
  </si>
  <si>
    <t>C.12</t>
  </si>
  <si>
    <t>B_NEWCUSTSTART_REASON</t>
  </si>
  <si>
    <t>NEW_CUST_PROD_START_REASON_STAT</t>
  </si>
  <si>
    <t>Why this new/customized product or service was developed</t>
  </si>
  <si>
    <t>D.1.a</t>
  </si>
  <si>
    <t>B_RDACT_ACQUIRE</t>
  </si>
  <si>
    <t>RD_ACTV_ACQUIRE_STAT</t>
  </si>
  <si>
    <t>Yes/No if conducted R&amp;D activities to acquire general problem solving knowledge</t>
  </si>
  <si>
    <t>D.1.b</t>
  </si>
  <si>
    <t>B_RDACT_SPECIFIC</t>
  </si>
  <si>
    <t>RD_ACTV_SPECIFIC_STAT</t>
  </si>
  <si>
    <t>Yes/No if conducted R&amp;D activities to acquire problem solving knowledge for a specific problem</t>
  </si>
  <si>
    <t>D.1.c</t>
  </si>
  <si>
    <t>B_RDACT_SYSTEM</t>
  </si>
  <si>
    <t>RD_ACTV_SYSTEM_STAT</t>
  </si>
  <si>
    <t>Yes/No if conducted R&amp;D activities involving systematic work directed to producing new or improved products or processes</t>
  </si>
  <si>
    <t>D.1.d</t>
  </si>
  <si>
    <t xml:space="preserve">B_RDACT_PROTO </t>
  </si>
  <si>
    <t>RD_ACTV_PROTO_STAT</t>
  </si>
  <si>
    <t>Yes/No if conducted R&amp;D activities using scientific research to develop and test goods, services, or processes</t>
  </si>
  <si>
    <t>D.1.e</t>
  </si>
  <si>
    <t>B_RDACT_SOFT </t>
  </si>
  <si>
    <t>RD_ACTV_SOFT_STAT</t>
  </si>
  <si>
    <t>Yes/No if conducted R&amp;D activities for software developmentYes/No if conducted R&amp;D activities that produced findings that could be published in academic journals or presented at conferences</t>
  </si>
  <si>
    <t>D.1.f</t>
  </si>
  <si>
    <t>B_RDACT_PAPERS </t>
  </si>
  <si>
    <t>RD_ACTV_PAPERS_STAT</t>
  </si>
  <si>
    <t>Yes/No if conducted R&amp;D activities that produced findings that could be published in academic journals or presented at conferences</t>
  </si>
  <si>
    <t>D.1.g</t>
  </si>
  <si>
    <t>B_RDACT_APPLIED</t>
  </si>
  <si>
    <t>RD_ACTV_APPLIED_STAT</t>
  </si>
  <si>
    <t>Yes/No if conducted R&amp;D activities that applied knowledge in a way that has never been done before</t>
  </si>
  <si>
    <t>D.1.h</t>
  </si>
  <si>
    <t>B_RDACT_SOLUTION</t>
  </si>
  <si>
    <t>RD_ACTV_SOLUTION_STAT</t>
  </si>
  <si>
    <t>Yes/No if conducted R&amp;D activities to create new solutions that could be generalized to other situations</t>
  </si>
  <si>
    <t>D.1.i</t>
  </si>
  <si>
    <t>B_RDACT_DISCOVERN</t>
  </si>
  <si>
    <t>RD_ACTV_DISCOVERN_STAT</t>
  </si>
  <si>
    <t xml:space="preserve">Yes/No if conducted R&amp;D activities to discover previously unknown facts </t>
  </si>
  <si>
    <t>D.1.j</t>
  </si>
  <si>
    <t>B_RDACT_UNDERSTAND</t>
  </si>
  <si>
    <t>RD_ACTV_UNDERSTAND_STAT</t>
  </si>
  <si>
    <t>Yes/No if conducted R&amp;D activities to extend understanding of facts, relationships, or principles</t>
  </si>
  <si>
    <t>D.2</t>
  </si>
  <si>
    <t>B_RDEXP_TOT</t>
  </si>
  <si>
    <t>EXPS_RD_TOT_VAL</t>
  </si>
  <si>
    <t>Total cost for R&amp;D activities</t>
  </si>
  <si>
    <t>D.3</t>
  </si>
  <si>
    <t xml:space="preserve">B_RDEXP_FOR </t>
  </si>
  <si>
    <t>EXPS_RD_FOREIGN_VAL</t>
  </si>
  <si>
    <t>Amount of international R&amp;D costs</t>
  </si>
  <si>
    <t>D.4</t>
  </si>
  <si>
    <t xml:space="preserve">B_RDEXP_DOM </t>
  </si>
  <si>
    <t>EXPS_RD_DOM_DVAL</t>
  </si>
  <si>
    <t>Amount of domestic R&amp;D costs</t>
  </si>
  <si>
    <t>D.5.a</t>
  </si>
  <si>
    <t>B_RDEXP_DOM_EMPL</t>
  </si>
  <si>
    <t>EXPS_RD_DOM_EMP_VAL</t>
  </si>
  <si>
    <t>Payroll</t>
  </si>
  <si>
    <t>Amount of domestic R&amp;D costs going to salaries, wages, and benefits</t>
  </si>
  <si>
    <t>D.5.b</t>
  </si>
  <si>
    <t>B_RDEXP_DOM_EQUIPMT</t>
  </si>
  <si>
    <t>EXPS_RD_DOM_EQUIP_VAL</t>
  </si>
  <si>
    <t>Equipment, Materials, and Supplies</t>
  </si>
  <si>
    <t>Amount of domestic R&amp;D costs going to expensed machinery and equipment</t>
  </si>
  <si>
    <t>D.5.c</t>
  </si>
  <si>
    <t>B_RDEXP_DOM_MATERIALS</t>
  </si>
  <si>
    <t>EXPS_RD_DOM_MAT_VAL</t>
  </si>
  <si>
    <t>Amount of domestic R&amp;D costs going to materials and supplies</t>
  </si>
  <si>
    <t>D.5.d</t>
  </si>
  <si>
    <t>B_RDEXP_DOM_PARTNR</t>
  </si>
  <si>
    <t>EXPS_RD_DOM_PARTNER_VAL</t>
  </si>
  <si>
    <t>Amount of domestic R&amp;D costs going to payments to others for R&amp;D</t>
  </si>
  <si>
    <t>D.5.e</t>
  </si>
  <si>
    <t>B_RDEXP_DOM_DEPR</t>
  </si>
  <si>
    <t>EXPS_RD_DOM_DEPR_VAL</t>
  </si>
  <si>
    <t>Asset</t>
  </si>
  <si>
    <t>Contra Asset</t>
  </si>
  <si>
    <t>Amount of domestic R&amp;D costs going to depreciation on property and equipment</t>
  </si>
  <si>
    <t>D.5.f</t>
  </si>
  <si>
    <t xml:space="preserve">B_RDEXP_DOM_OTHER </t>
  </si>
  <si>
    <t>EXPS_RD_DOM_OTH_VAL</t>
  </si>
  <si>
    <t>Amount of domestic R&amp;D costs going to all other costs</t>
  </si>
  <si>
    <t>D.5.TOT</t>
  </si>
  <si>
    <t>B_RDEXP_DOM_SUM</t>
  </si>
  <si>
    <t>EXPS_RD_DOM_TYP_TOT_DVAL</t>
  </si>
  <si>
    <t xml:space="preserve">Total amount of domestic R&amp;D costs </t>
  </si>
  <si>
    <t>D.6</t>
  </si>
  <si>
    <t xml:space="preserve">B_RDEXP_PDOM </t>
  </si>
  <si>
    <t>EXPS_RD_DOM_PERFORM_DVAL</t>
  </si>
  <si>
    <t>Domestic R&amp;D performance costs</t>
  </si>
  <si>
    <t>D.7.a</t>
  </si>
  <si>
    <t>B_RDFUND_US_THISBUS</t>
  </si>
  <si>
    <t>FUNDS_RD_US_OWN_VAL</t>
  </si>
  <si>
    <t>Domestic R&amp;D costs paid by this business</t>
  </si>
  <si>
    <t>D.7.b</t>
  </si>
  <si>
    <t>B_RDFUND_FR_OWNER</t>
  </si>
  <si>
    <t>FUNDS_RD_FORGN_OWN_VAL</t>
  </si>
  <si>
    <t>Domestic R&amp;D costs paid by foreign owner</t>
  </si>
  <si>
    <t>D.7.c</t>
  </si>
  <si>
    <t>B_RDFUND_US_OTHBUS</t>
  </si>
  <si>
    <t>FUNDS_RD_US_OTHBUS_VAL</t>
  </si>
  <si>
    <t>Domestic R&amp;D costs paid by other U.S. businesses</t>
  </si>
  <si>
    <t>D.7.d</t>
  </si>
  <si>
    <t>B_RDFUND_FR_OTHBUS</t>
  </si>
  <si>
    <t>FUNDS_RD_FORGN_OTHBUS_VAL</t>
  </si>
  <si>
    <t>Domestic R&amp;D costs paid by other foreign businesses</t>
  </si>
  <si>
    <t>D.7.e</t>
  </si>
  <si>
    <t>B_RDFUND_US_EDU</t>
  </si>
  <si>
    <t>FUNDS_RD_US_EDU_VAL</t>
  </si>
  <si>
    <t>Domestic R&amp;D costs paid by U.S. universities</t>
  </si>
  <si>
    <t>D.7.f</t>
  </si>
  <si>
    <t>B_RDFUND_US_NPORG</t>
  </si>
  <si>
    <t>FUNDS_RD_US_NONPROF_VAL</t>
  </si>
  <si>
    <t>Domestic R&amp;D costs paid by U.S. nonprofits</t>
  </si>
  <si>
    <t>D.7.g.1</t>
  </si>
  <si>
    <t>B_RDFUND_US_FEDGOV</t>
  </si>
  <si>
    <t>FUNDS_RD_US_FEDGOV_VAL</t>
  </si>
  <si>
    <t>Domestic R&amp;D costs paid by U.S. federal government</t>
  </si>
  <si>
    <t>D.7.g.2</t>
  </si>
  <si>
    <t>B_RDFUND_US_FEDGOV_SHARE</t>
  </si>
  <si>
    <t>FUNDS_RD_US_AGENCY_STAT</t>
  </si>
  <si>
    <t>Federal agency paying the most R&amp;D costs</t>
  </si>
  <si>
    <t>D.7.h</t>
  </si>
  <si>
    <t>B_RDFUND_US_STLOC</t>
  </si>
  <si>
    <t>FUNDS_RD_US_LOCGOV_VAL</t>
  </si>
  <si>
    <t>Domestic R&amp;D costs paid by U.S. state or local government</t>
  </si>
  <si>
    <t>D.7.i</t>
  </si>
  <si>
    <t>B_RDFUND_FR_OTHER</t>
  </si>
  <si>
    <t>FUNDS_RD_FORGN_OTH_VAL</t>
  </si>
  <si>
    <t>Domestic R&amp;D costs paid by all other foreign organizations</t>
  </si>
  <si>
    <t>D.7.TOT</t>
  </si>
  <si>
    <t>B_RDFUND_TOT</t>
  </si>
  <si>
    <t>FUNDS_RD_TOT_DVAL</t>
  </si>
  <si>
    <t>Total R&amp;D funds</t>
  </si>
  <si>
    <t>D.8.a</t>
  </si>
  <si>
    <t>B_RDCOST_DOM_BASIC</t>
  </si>
  <si>
    <t>EXPS_RD_US_BASIC_VAL</t>
  </si>
  <si>
    <t>Domestic R&amp;D performance costs for basic research</t>
  </si>
  <si>
    <t>D.8.b</t>
  </si>
  <si>
    <t>B_RDCOST_DOM_APPLD</t>
  </si>
  <si>
    <t>EXPS_RD_US_APPLIED_VAL</t>
  </si>
  <si>
    <t>Domestic R&amp;D performance costs for applied research</t>
  </si>
  <si>
    <t>D.8.c</t>
  </si>
  <si>
    <t>B_RDCOST_DOM_DEV</t>
  </si>
  <si>
    <t>EXPS_RD_US_DEV_VAL</t>
  </si>
  <si>
    <t>Domestic R&amp;D performance costs for development</t>
  </si>
  <si>
    <t>D.8.TOT</t>
  </si>
  <si>
    <t xml:space="preserve">B_RDCOST_DOM_TOTAL </t>
  </si>
  <si>
    <t>EXPS_RD_US_TOT_DVAL</t>
  </si>
  <si>
    <t>Total domestic R&amp;D performance costs</t>
  </si>
  <si>
    <t>D.9.a</t>
  </si>
  <si>
    <t>B_RDFED_BASIC</t>
  </si>
  <si>
    <t>FED_RD_BASIC_VAL</t>
  </si>
  <si>
    <t>Federally funded R&amp;D costs for basic research</t>
  </si>
  <si>
    <t>D.9.b</t>
  </si>
  <si>
    <t>B_RDFED_APPLD</t>
  </si>
  <si>
    <t>FED_RD_APPLIED_VAL</t>
  </si>
  <si>
    <t>Federally funded R&amp;D costs for applied research</t>
  </si>
  <si>
    <t>D.9.c</t>
  </si>
  <si>
    <t>B_RDFED_DEV</t>
  </si>
  <si>
    <t>FED_RD_DEV_VAL</t>
  </si>
  <si>
    <t>Federally funded R&amp;D costs for development</t>
  </si>
  <si>
    <t>D.9.TOT</t>
  </si>
  <si>
    <t>B_RDFED_TOTAL</t>
  </si>
  <si>
    <t>FED_RD_TOT_DVAL</t>
  </si>
  <si>
    <t>Total federally funded R&amp;D costs</t>
  </si>
  <si>
    <t>D.10</t>
  </si>
  <si>
    <t>B_CAPEXP_TOTAL</t>
  </si>
  <si>
    <t>CAPEX_TOT_VAL</t>
  </si>
  <si>
    <t>Capital Expenditure</t>
  </si>
  <si>
    <t>Amount of capital expenditures</t>
  </si>
  <si>
    <t>D.11</t>
  </si>
  <si>
    <t>B_RESOP_TOTAL</t>
  </si>
  <si>
    <t>CAPEX_RD_OPS_VAL</t>
  </si>
  <si>
    <t>Amount of capital expenditures for R&amp;D</t>
  </si>
  <si>
    <t>D.12.a</t>
  </si>
  <si>
    <t>B_EXPCOST_LAND</t>
  </si>
  <si>
    <t>CAPEX_RD_OPS_LAND_VAL</t>
  </si>
  <si>
    <t>R&amp;D capital expenditures for land acquisition</t>
  </si>
  <si>
    <t>D.12.b</t>
  </si>
  <si>
    <t>B_EXPCOST_BLDG</t>
  </si>
  <si>
    <t>CAPEX_RD_OPS_BLDG_VAL</t>
  </si>
  <si>
    <t>R&amp;D capital expenditures for buildings and land imp R&amp;D capital expenditures for equipmentrovement</t>
  </si>
  <si>
    <t>D.12.c</t>
  </si>
  <si>
    <t>B_EXPCOST_EQUIP</t>
  </si>
  <si>
    <t>CAPEX_RD_OPS_EQUIP_VAL</t>
  </si>
  <si>
    <t>R&amp;D capital expenditures for equipment</t>
  </si>
  <si>
    <t>D.12.d</t>
  </si>
  <si>
    <t>B_EXPCOST_TECH</t>
  </si>
  <si>
    <t>CAPEX_RD_OPS_TECH_VAL</t>
  </si>
  <si>
    <t>R&amp;D capital expenditures for software</t>
  </si>
  <si>
    <t>D.12.e</t>
  </si>
  <si>
    <t>B_EXPCOST_INTEL</t>
  </si>
  <si>
    <t>CAPEX_RD_OPS_INTEL_VAL</t>
  </si>
  <si>
    <t>R&amp;D capital expenditures for IP</t>
  </si>
  <si>
    <t>D.12.f</t>
  </si>
  <si>
    <t xml:space="preserve">B_EXPCOST_OTH </t>
  </si>
  <si>
    <t>CAPEX_RD_OPS_OTH_VAL</t>
  </si>
  <si>
    <t>All other R&amp;D capital expenditures</t>
  </si>
  <si>
    <t>D.12.TOT</t>
  </si>
  <si>
    <t>B_EXPCOST_TOTAL</t>
  </si>
  <si>
    <t>CAPEX_RD_OPS_TOT_DVAL</t>
  </si>
  <si>
    <t>Total capital expenditures by R&amp;D category</t>
  </si>
  <si>
    <t>D.13.a</t>
  </si>
  <si>
    <t>B_RDEMP_DOMESTIC</t>
  </si>
  <si>
    <t>EMP_MAR12_RD_NUM</t>
  </si>
  <si>
    <t xml:space="preserve">Amount of R&amp;D employees </t>
  </si>
  <si>
    <t>D.13.b</t>
  </si>
  <si>
    <t>B_RDEMP_FEMALE_DOMESTIC</t>
  </si>
  <si>
    <t>EMP_MAR12_RD_F_NUM</t>
  </si>
  <si>
    <t>Amount of R&amp;D employees that were female</t>
  </si>
  <si>
    <t>D.13.c</t>
  </si>
  <si>
    <t>B_RDEMP_MALE_DOMESTIC</t>
  </si>
  <si>
    <t>EMP_MAR12_RD_M_NUM</t>
  </si>
  <si>
    <t>Amount of R&amp;D employees that were male</t>
  </si>
  <si>
    <t>D.14.a</t>
  </si>
  <si>
    <t>B_RDJOB_RESRCH_DOMESTIC</t>
  </si>
  <si>
    <t>EMP_MAR12_RD_RSRCHR_NUM</t>
  </si>
  <si>
    <t>Amount of R&amp;D employees that were researchers</t>
  </si>
  <si>
    <t>D.14.b</t>
  </si>
  <si>
    <t>B_RDJOB_TECH_DOMESTIC</t>
  </si>
  <si>
    <t>EMP_MAR12_RD_TECH_NUM</t>
  </si>
  <si>
    <t>Amount of R&amp;D employees that were technicians</t>
  </si>
  <si>
    <t>D.14.c</t>
  </si>
  <si>
    <t>B_RDJOB_SUPPORT_DOMESTIC</t>
  </si>
  <si>
    <t>EMP_MAR12_RD_SUPP_NUM</t>
  </si>
  <si>
    <t>Amount of R&amp;D employees that were support staff</t>
  </si>
  <si>
    <t>D.14.d</t>
  </si>
  <si>
    <t>B_RDJOB_TOTEMP_DOMESTIC</t>
  </si>
  <si>
    <t>EMP_MAR12_RD_TOT_DNUM</t>
  </si>
  <si>
    <t>Total R&amp;D employees by staff type</t>
  </si>
  <si>
    <t>D.14.e</t>
  </si>
  <si>
    <t>B_RDJOB_PHD_DOMESTIC</t>
  </si>
  <si>
    <t>RSRCHR_PHD_NUM</t>
  </si>
  <si>
    <t>Number of R&amp;D researchers that had PhDs</t>
  </si>
  <si>
    <t>D.15</t>
  </si>
  <si>
    <t>B_EMPNUM_RDFTE_TOTAL</t>
  </si>
  <si>
    <t>EMP_FTE_RD_NUM</t>
  </si>
  <si>
    <t>Full-time equivalent of the R&amp;D employees</t>
  </si>
  <si>
    <t>D.16</t>
  </si>
  <si>
    <t>B_EMPNUM_RDFTE_RSEARCH</t>
  </si>
  <si>
    <t>EMP_FTE_RD_RSRCHR_NUM</t>
  </si>
  <si>
    <t>Full-time equivalent of the R&amp;D researchers</t>
  </si>
  <si>
    <t>D.17</t>
  </si>
  <si>
    <t>B_RDTAXCREDIT</t>
  </si>
  <si>
    <t>RSRCH_TAXCRED_STAT</t>
  </si>
  <si>
    <t>Tax Status</t>
  </si>
  <si>
    <t>Yes/No if business filed for the federal tax credit for increasing research activities</t>
  </si>
  <si>
    <t>D.18.a</t>
  </si>
  <si>
    <t>B_RDSTTX</t>
  </si>
  <si>
    <t>RSRCH_ST_TAXCRED_STAT</t>
  </si>
  <si>
    <t>Yes/No if business filed for the state tax credit for increasing research activities</t>
  </si>
  <si>
    <t>D.18.b</t>
  </si>
  <si>
    <t>B_RDTAX_STATE</t>
  </si>
  <si>
    <t>RSRCH_TAXCRED_ST</t>
  </si>
  <si>
    <t>The state in which the business filed for a tax credit for increasing research activities</t>
  </si>
  <si>
    <t>E.1</t>
  </si>
  <si>
    <t xml:space="preserve">AFFIL </t>
  </si>
  <si>
    <t>AFFIL_ORG_STAT</t>
  </si>
  <si>
    <t xml:space="preserve">Yes/No if organization is affiliated with or considered a part of another organization </t>
  </si>
  <si>
    <t>E.1.SPECIFY</t>
  </si>
  <si>
    <t xml:space="preserve">AFFILWI </t>
  </si>
  <si>
    <t>AFFIL_ORG_TXT</t>
  </si>
  <si>
    <t xml:space="preserve">Details on affiliated organization </t>
  </si>
  <si>
    <t>E.2</t>
  </si>
  <si>
    <t>EXPNS</t>
  </si>
  <si>
    <t>EXPS_TOT_VAL</t>
  </si>
  <si>
    <t>Amount of total expenses</t>
  </si>
  <si>
    <t>E.3</t>
  </si>
  <si>
    <t>WEMP</t>
  </si>
  <si>
    <t>EMP_MAR12_NUM</t>
  </si>
  <si>
    <t>Number of employees as of March 12th</t>
  </si>
  <si>
    <t>E.4</t>
  </si>
  <si>
    <t>FYEND_MONTH</t>
  </si>
  <si>
    <t>FY_END_DATE</t>
  </si>
  <si>
    <t>Organizational Structure</t>
  </si>
  <si>
    <t xml:space="preserve">Month that fiscal year ends </t>
  </si>
  <si>
    <t>E.5</t>
  </si>
  <si>
    <t>RDPER</t>
  </si>
  <si>
    <t>RSRCH_STAT</t>
  </si>
  <si>
    <t xml:space="preserve">Yes/No if organization performed research </t>
  </si>
  <si>
    <t>E.5.RMK</t>
  </si>
  <si>
    <t>RDPERWI</t>
  </si>
  <si>
    <t>RSRCH_WRTIN</t>
  </si>
  <si>
    <t>Details on research performed</t>
  </si>
  <si>
    <t>E.6</t>
  </si>
  <si>
    <t>RDOUT</t>
  </si>
  <si>
    <t>RSRCH_FUND_STAT</t>
  </si>
  <si>
    <t>Yes/No if organization funded research performed outside of the organization</t>
  </si>
  <si>
    <t>E.6.RMK</t>
  </si>
  <si>
    <t>RDOUTWI</t>
  </si>
  <si>
    <t>RSRCH_FUND_WRTIN</t>
  </si>
  <si>
    <t>Details on outside funded research</t>
  </si>
  <si>
    <t>E.7</t>
  </si>
  <si>
    <t>WZTOT</t>
  </si>
  <si>
    <t>EXPS_RSRCH_VAL</t>
  </si>
  <si>
    <t>Amount of internal research funds</t>
  </si>
  <si>
    <t>E.7.RMK</t>
  </si>
  <si>
    <t>WZTOTWI</t>
  </si>
  <si>
    <t>EXPS_RSRCH_WRTIN</t>
  </si>
  <si>
    <t>Details on amount spent on research within the organization</t>
  </si>
  <si>
    <t>E.8.a</t>
  </si>
  <si>
    <t>ZINT</t>
  </si>
  <si>
    <t>EXPS_RSRCH_INTRNL_VAL</t>
  </si>
  <si>
    <t>Amount of domestic internal research funds that came from the organization itself</t>
  </si>
  <si>
    <t>ZINTTOT</t>
  </si>
  <si>
    <t>EXPS_RSRCH_INTRNL_TOT_VAL</t>
  </si>
  <si>
    <t>Total mount of internal research funds that came from the organization itself</t>
  </si>
  <si>
    <t>E.8.b</t>
  </si>
  <si>
    <t>FEDRD</t>
  </si>
  <si>
    <t>EXPS_RSRCH_FED_VAL</t>
  </si>
  <si>
    <t>Amount of domestic research funds that came from the federal government</t>
  </si>
  <si>
    <t>COPYFEDRD</t>
  </si>
  <si>
    <t>EXPS_RSRCH_FED_TOT_VAL</t>
  </si>
  <si>
    <t>Total amount of research funds that came from the federal government</t>
  </si>
  <si>
    <t>E.8.c</t>
  </si>
  <si>
    <t>ZSTAT</t>
  </si>
  <si>
    <t>EXPS_RSRCH_ST_LOC_VAL</t>
  </si>
  <si>
    <t>Amount of domestic research funds that came from state and local governments</t>
  </si>
  <si>
    <t>COPYZSTAT</t>
  </si>
  <si>
    <t>EXPS_RSRCH_ST_LOC_TOT_VAL</t>
  </si>
  <si>
    <t>Total amount of research funds that came from state and local governments</t>
  </si>
  <si>
    <t>E.8.d</t>
  </si>
  <si>
    <t>DZDON</t>
  </si>
  <si>
    <t>EXPS_RSRCH_DONOR_DOM_VAL</t>
  </si>
  <si>
    <t>Amount of domestic research funds that came from individual donors</t>
  </si>
  <si>
    <t>FZDON</t>
  </si>
  <si>
    <t>EXPS_RSRCH_DONOR_FOR_VAL</t>
  </si>
  <si>
    <t>Amount of foreign research funds that came from individual donors</t>
  </si>
  <si>
    <t>ZDON</t>
  </si>
  <si>
    <t>EXPS_RSRCH_DONOR_TOT_VAL</t>
  </si>
  <si>
    <t>Total amount of domestic and foreign research funds that came from individual donors</t>
  </si>
  <si>
    <t>E.8.e</t>
  </si>
  <si>
    <t>DWZRCD</t>
  </si>
  <si>
    <t>EXPS_RSRCH_BUS_DOM_VAL</t>
  </si>
  <si>
    <t>Amount of domestic research funds that came from businesses</t>
  </si>
  <si>
    <t>FWZRCD</t>
  </si>
  <si>
    <t>EXPS_RSRCH_BUS_FOR_VAL</t>
  </si>
  <si>
    <t>Amount of foreign research funds that came from businesses</t>
  </si>
  <si>
    <t>WZRCD</t>
  </si>
  <si>
    <t>EXPS_RSRCH_BUS_TOT_VAL</t>
  </si>
  <si>
    <t>Total amount of domestic and foreign research funds that came from businesses</t>
  </si>
  <si>
    <t>E.8.f</t>
  </si>
  <si>
    <t>DZWUN</t>
  </si>
  <si>
    <t>EXPS_RSRCH_UNI_DOM_VAL</t>
  </si>
  <si>
    <t>Amount of domestic research funds that came from universities</t>
  </si>
  <si>
    <t>FZWUN</t>
  </si>
  <si>
    <t>EXPS_RSRCH_UNI_FOR_VAL</t>
  </si>
  <si>
    <t>Amount of foreign research funds that came from universities</t>
  </si>
  <si>
    <t>ZWUN</t>
  </si>
  <si>
    <t>EXPS_RSRCH_UNI_TOT_VAL</t>
  </si>
  <si>
    <t>Total amount of domestic and foreign research funds that came from universities</t>
  </si>
  <si>
    <t>E.8.g</t>
  </si>
  <si>
    <t>DFONP</t>
  </si>
  <si>
    <t>Amount of domestic research funds that came from foundations and all other nonprofits</t>
  </si>
  <si>
    <t>FFONP</t>
  </si>
  <si>
    <t>Amount of foreign research funds that came from foundations and all other nonprofits</t>
  </si>
  <si>
    <t>FONP</t>
  </si>
  <si>
    <t>Total mount of domestic and foreign internal research funds that came from foundations and all other nonprofits</t>
  </si>
  <si>
    <t>E.8.h</t>
  </si>
  <si>
    <t>DZOTH</t>
  </si>
  <si>
    <t>EXPS_RSRCH_OTH_DOM_VAL</t>
  </si>
  <si>
    <t>Amount of domestic research funds that came from other sources</t>
  </si>
  <si>
    <t>FZOTH</t>
  </si>
  <si>
    <t>EXPS_RSRCH_OTH_FOR_VAL</t>
  </si>
  <si>
    <t>Amount of foreign research funds that came from other sources</t>
  </si>
  <si>
    <t>ZOTH</t>
  </si>
  <si>
    <t>EXPS_RSRCH_OTH_TOT_VAL</t>
  </si>
  <si>
    <t>Total amount of domestic and foreign internal research funds that came from other sources</t>
  </si>
  <si>
    <t>E.8.TOT</t>
  </si>
  <si>
    <t>NPRDSOURCE_DOM</t>
  </si>
  <si>
    <t>Total amount of domestic internal research funds by source of funds</t>
  </si>
  <si>
    <t>NPRDSOURCE_FGN</t>
  </si>
  <si>
    <t>EXPS_RSRCH_FUND_FOR_DVAL</t>
  </si>
  <si>
    <t>Total amount of foreign internal research funds by source of funds</t>
  </si>
  <si>
    <t>NPRDSOURCE_TOT</t>
  </si>
  <si>
    <t>EXPS_RSRCH_FUND_TOT_DVAL</t>
  </si>
  <si>
    <t>Total amount of domestic and foreign internal research funds by source of funds</t>
  </si>
  <si>
    <t>E.8.RMK</t>
  </si>
  <si>
    <t>NPRDSOURCEWI</t>
  </si>
  <si>
    <t>EXPS_RSRCH_OTH_TXT</t>
  </si>
  <si>
    <t>Details on the amount of internal research funds that came from other sources</t>
  </si>
  <si>
    <t>E.9.a</t>
  </si>
  <si>
    <t>NAGR</t>
  </si>
  <si>
    <t>EXPS_RSRCH_AGRCLTR_VAL</t>
  </si>
  <si>
    <t>Amount of internal research funds allocated to agricultural sciences and natural resources</t>
  </si>
  <si>
    <t>E.9.b</t>
  </si>
  <si>
    <t>NBIO</t>
  </si>
  <si>
    <t>EXPS_RSRCH_BIO_SCIENCE_VAL</t>
  </si>
  <si>
    <t>Amount of internal research funds allocated to biological, biomedical, and health sciences</t>
  </si>
  <si>
    <t>E.9.c</t>
  </si>
  <si>
    <t>NENG</t>
  </si>
  <si>
    <t>EXPS_RSRCH_ENGINEER_VAL</t>
  </si>
  <si>
    <t>Amount of internal research funds allocated to engineering</t>
  </si>
  <si>
    <t>E.9.d</t>
  </si>
  <si>
    <t>NGEO</t>
  </si>
  <si>
    <t>EXPS_RSRCH_GEO_SCIENCE_VAL</t>
  </si>
  <si>
    <t>Amount of internal research funds allocated to geosciences, atmosphere sciences, and ocean sciences</t>
  </si>
  <si>
    <t>E.9.e</t>
  </si>
  <si>
    <t>NMTH</t>
  </si>
  <si>
    <t>EXPS_RSRCH_MATH_COMPTR_VAL</t>
  </si>
  <si>
    <t>Amount of internal research funds allocated to mathematics, statistics, and information science</t>
  </si>
  <si>
    <t>E.9.f</t>
  </si>
  <si>
    <t>NPHY</t>
  </si>
  <si>
    <t>EXPS_RSRCH_PHYS_SCIENCE_VAL</t>
  </si>
  <si>
    <t>Amount of internal research funds allocated to physical sciences</t>
  </si>
  <si>
    <t>E.9.g</t>
  </si>
  <si>
    <t>NPSY</t>
  </si>
  <si>
    <t>EXPS_RSRCH_SOC_SCIENCE_VAL</t>
  </si>
  <si>
    <t>Amount of internal research funds allocated to social sciences</t>
  </si>
  <si>
    <t>E.9.h</t>
  </si>
  <si>
    <t>NHUM</t>
  </si>
  <si>
    <t>EXPS_RSRCH_HUMANITIES_VAL</t>
  </si>
  <si>
    <t>Amount of internal research funds allocated to humanities</t>
  </si>
  <si>
    <t>E.9.i</t>
  </si>
  <si>
    <t>NOF</t>
  </si>
  <si>
    <t>EXPS_RSRCH_OTH_VAL</t>
  </si>
  <si>
    <t>Amount of internal research funds allocated to other fields</t>
  </si>
  <si>
    <t>E.9.TOT</t>
  </si>
  <si>
    <t>NPRDFIELD_TOT</t>
  </si>
  <si>
    <t>EXPS_RSRCH_FLD_TOT_DVAL</t>
  </si>
  <si>
    <t>Total amount of internal research funds by allocation field</t>
  </si>
  <si>
    <t>E.9.RMK</t>
  </si>
  <si>
    <t>NPRDFIELDWI</t>
  </si>
  <si>
    <t>EXPS_RSRCH_FLD_TOT_TXT</t>
  </si>
  <si>
    <t>Additional detail or clarification for question response</t>
  </si>
  <si>
    <t>E.10</t>
  </si>
  <si>
    <t>ZCLNZP</t>
  </si>
  <si>
    <t>EXPS_RSRCH_MEDTRIAL_PCT</t>
  </si>
  <si>
    <t>Amount of internal research funds allocated to medical clinical trials</t>
  </si>
  <si>
    <t>E.11.a</t>
  </si>
  <si>
    <t>BASF</t>
  </si>
  <si>
    <t>EXPS_RSRCH_BASIC_FED_VAL</t>
  </si>
  <si>
    <t>Amount of internal research funds allocated to basic research</t>
  </si>
  <si>
    <t>XBAS</t>
  </si>
  <si>
    <t>EXPS_RSRCH_BASIC_NFED_VAL</t>
  </si>
  <si>
    <t>ZBAS</t>
  </si>
  <si>
    <t>EXPS_RSRCH_BASIC_TOT_VAL</t>
  </si>
  <si>
    <t>E.11.b</t>
  </si>
  <si>
    <t>APPF</t>
  </si>
  <si>
    <t>EXPS_RSRCH_APPL_FED_VAL</t>
  </si>
  <si>
    <t>Amount of internal research funds allocated to applied research</t>
  </si>
  <si>
    <t>XAPP</t>
  </si>
  <si>
    <t>EXPS_RSRCH_APPL_NFED_VAL</t>
  </si>
  <si>
    <t>ZAPP</t>
  </si>
  <si>
    <t>EXPS_RSRCH_APPL_TOT_VAL</t>
  </si>
  <si>
    <t>E.11.c</t>
  </si>
  <si>
    <t>DEVF</t>
  </si>
  <si>
    <t>EXPS_RSRCH_DEV_FED_VAL</t>
  </si>
  <si>
    <t>Amount of internal research funds allocated to experimental development</t>
  </si>
  <si>
    <t>XDEV</t>
  </si>
  <si>
    <t>EXPS_RSRCH_DEV_NFED_VAL</t>
  </si>
  <si>
    <t>ZDEV</t>
  </si>
  <si>
    <t>EXPS_RSRCH_DEV_TOT_VAL</t>
  </si>
  <si>
    <t>E.11.TOT</t>
  </si>
  <si>
    <t>BADF</t>
  </si>
  <si>
    <t>EXPS_RSRCH_TYPE_FED_DVAL</t>
  </si>
  <si>
    <t xml:space="preserve">Total amount of internal research funds by research type </t>
  </si>
  <si>
    <t>XBAD</t>
  </si>
  <si>
    <t>EXPS_RSRCH_TYPE_NFED_DVA</t>
  </si>
  <si>
    <t>ZBAD</t>
  </si>
  <si>
    <t>EXPS_RSRCH_TYPE_TOT_DVAL</t>
  </si>
  <si>
    <t>E.11.RMK</t>
  </si>
  <si>
    <t>BADWI</t>
  </si>
  <si>
    <t>EXPS_RSRCH_TYP_TOT_TXT</t>
  </si>
  <si>
    <t>Details on Total amount of internal research funds by research type</t>
  </si>
  <si>
    <t>E.12.a</t>
  </si>
  <si>
    <t>WZWAGE</t>
  </si>
  <si>
    <t>EXPS_RSRCH_PAYROLL_VAL</t>
  </si>
  <si>
    <t>Amount of internal research funds allocated to payroll for internal employees</t>
  </si>
  <si>
    <t>E.12.b</t>
  </si>
  <si>
    <t>WZTEMP</t>
  </si>
  <si>
    <t>EXPS_RSRCH_CONTRACT_VAL</t>
  </si>
  <si>
    <t xml:space="preserve">Amount of internal research funds allocated to contract employees </t>
  </si>
  <si>
    <t>E.12.c</t>
  </si>
  <si>
    <t>WZDEPR</t>
  </si>
  <si>
    <t>EXPS_RSRCH_DEPR_VAL</t>
  </si>
  <si>
    <t>Amount of internal research funds allocated to depreciation and amortization of assets</t>
  </si>
  <si>
    <t>E.12.d</t>
  </si>
  <si>
    <t>WZEQP</t>
  </si>
  <si>
    <t>EXPS_RSRCH_MACH_EQ_VAL</t>
  </si>
  <si>
    <t>Amount of internal research funds allocated to expensed machinery and equipment</t>
  </si>
  <si>
    <t>E.12.e</t>
  </si>
  <si>
    <t>WZMTR</t>
  </si>
  <si>
    <t>EXPS_RSRCH_MAT_SUP_VAL</t>
  </si>
  <si>
    <t>Amount of internal research funds allocated to machinery and supplies</t>
  </si>
  <si>
    <t>E.12.f</t>
  </si>
  <si>
    <t>WZOTHER</t>
  </si>
  <si>
    <t>Amount of internal research funds allocated to all other costs</t>
  </si>
  <si>
    <t>E.12.TOT</t>
  </si>
  <si>
    <t>WZOH_TOT</t>
  </si>
  <si>
    <t>EXPS_RSRCH_COST_TOT_DVAL</t>
  </si>
  <si>
    <t>Total amount of internal research funds by cost category</t>
  </si>
  <si>
    <t>E.12.RMK</t>
  </si>
  <si>
    <t>WZOHWI</t>
  </si>
  <si>
    <t>EXPS_RSRCH_COST_TOT_TXT</t>
  </si>
  <si>
    <t>E.13.a</t>
  </si>
  <si>
    <t>WTOSE</t>
  </si>
  <si>
    <t>EMP_MAR12_RSRCH_RSRCHR_NUM</t>
  </si>
  <si>
    <t>Number of employees working on research activities who were researchers</t>
  </si>
  <si>
    <t>E.13.b</t>
  </si>
  <si>
    <t>WTTEC</t>
  </si>
  <si>
    <t>EMP_MAR12_RSRCH_TECH_NUM</t>
  </si>
  <si>
    <t>Number of employees working on research activities who were research technicians</t>
  </si>
  <si>
    <t>E.13.c</t>
  </si>
  <si>
    <t>WTSUP</t>
  </si>
  <si>
    <t>EMP_MAR12_RSRCH_SUPP_NUM</t>
  </si>
  <si>
    <t xml:space="preserve">Number of employees working on research activities who were other support personnel </t>
  </si>
  <si>
    <t>E.13.TOT</t>
  </si>
  <si>
    <t xml:space="preserve">WRDEM </t>
  </si>
  <si>
    <t>EMP_MAR12_RSRCH_TOT_DNUM</t>
  </si>
  <si>
    <t>Total number of employees working on research activities</t>
  </si>
  <si>
    <t>E.13.RMK</t>
  </si>
  <si>
    <t>WRDEMWI</t>
  </si>
  <si>
    <t>EMP_MAR12_RSRCH_TOT_TXT</t>
  </si>
  <si>
    <t>E.14a</t>
  </si>
  <si>
    <t>TOTSE</t>
  </si>
  <si>
    <t>EMP_FTE_RSRCH_NUM</t>
  </si>
  <si>
    <t>Number of full-time equivalents working on research activities who were researchers</t>
  </si>
  <si>
    <t>E.14b</t>
  </si>
  <si>
    <t>FTETE</t>
  </si>
  <si>
    <t>EMP_FTE_TECHNCN_NUM</t>
  </si>
  <si>
    <t>Number of full-time equivalents working on research activities who were research technicians</t>
  </si>
  <si>
    <t>E.14c</t>
  </si>
  <si>
    <t>FTESU</t>
  </si>
  <si>
    <t>EMP_FTE_SUPPORT_NUM</t>
  </si>
  <si>
    <t xml:space="preserve">Number of full-time equivalents working on research activities who were other support personnel </t>
  </si>
  <si>
    <t>E.14.TOT</t>
  </si>
  <si>
    <t>RDALE</t>
  </si>
  <si>
    <t>EMP_FTE_RSRCH_TOT_DNUM</t>
  </si>
  <si>
    <t>Total number of full-time equivalents working on research activities</t>
  </si>
  <si>
    <t>E.14.RMK</t>
  </si>
  <si>
    <t>RDALEWI</t>
  </si>
  <si>
    <t>EMP_FTE_RSRCH_TOT_TXT</t>
  </si>
  <si>
    <t>E.15.a</t>
  </si>
  <si>
    <t>CONEM</t>
  </si>
  <si>
    <t>EMP_RSRCH_CONTRACT_STAT</t>
  </si>
  <si>
    <t>Yes/No if any contract employees worked on research activities</t>
  </si>
  <si>
    <t>E.15.b</t>
  </si>
  <si>
    <t>EMPC</t>
  </si>
  <si>
    <t>EMP_RSRCH_CONTRACT_NUM</t>
  </si>
  <si>
    <t>Number of contract employes working on research activities</t>
  </si>
  <si>
    <t>E.16.c</t>
  </si>
  <si>
    <t>VOLUN</t>
  </si>
  <si>
    <t>EMP_RSRCH_VOLUNTEER_STAT</t>
  </si>
  <si>
    <t>Yes/No if any volunteers worked on research activities</t>
  </si>
  <si>
    <t>E.16.d</t>
  </si>
  <si>
    <t>EMPV</t>
  </si>
  <si>
    <t>EMP_RSRCH_VOLUNTEER_NUM</t>
  </si>
  <si>
    <t>Number of volunteers working on research activities</t>
  </si>
  <si>
    <t>E.17.a</t>
  </si>
  <si>
    <t>GRNTS</t>
  </si>
  <si>
    <t>EXPS_PROV_RSRCH_VAL</t>
  </si>
  <si>
    <t>Amount of funding provided to others for research grants or contracts</t>
  </si>
  <si>
    <t>E.17.b</t>
  </si>
  <si>
    <t>SUBCT</t>
  </si>
  <si>
    <t>EXPS_PROV_SUBCONTRACT_VAL</t>
  </si>
  <si>
    <t>Amount of funding provided to others for research subcontracts or subawards</t>
  </si>
  <si>
    <t>E.17.TOT</t>
  </si>
  <si>
    <t xml:space="preserve">ZORD </t>
  </si>
  <si>
    <t>EXPS_PROV_RSRCH_TOT_DVAL</t>
  </si>
  <si>
    <t>Total amount of funding provided to others for research activities</t>
  </si>
  <si>
    <t>E.17.RMK</t>
  </si>
  <si>
    <t>RDOUTWI2</t>
  </si>
  <si>
    <t>EXPS_PROV_RSRCH_TOT_WRTIN</t>
  </si>
  <si>
    <t>Details on the total amount of funding provided to others for research activities</t>
  </si>
  <si>
    <t>E.18</t>
  </si>
  <si>
    <t>TCPEX</t>
  </si>
  <si>
    <t>Total capital expenditures</t>
  </si>
  <si>
    <t>E.19</t>
  </si>
  <si>
    <t>CAPEX</t>
  </si>
  <si>
    <t>CAPEX_RSRCH_VAL</t>
  </si>
  <si>
    <t>Total capital expenditures for research operations</t>
  </si>
  <si>
    <t>E.19.RMK</t>
  </si>
  <si>
    <t>CAPEXWI</t>
  </si>
  <si>
    <t>CAPEX_RSRCH_TOT_TXT</t>
  </si>
  <si>
    <t>E.20.a</t>
  </si>
  <si>
    <t>CPLND</t>
  </si>
  <si>
    <t>CAPEX_RSRCH_LAND_VAL</t>
  </si>
  <si>
    <t>Total capital expenditures for research operations that went towards land acquisition</t>
  </si>
  <si>
    <t>E.20.b</t>
  </si>
  <si>
    <t>CPSTR</t>
  </si>
  <si>
    <t>CAPEX_RSRCH_BUILD_VAL</t>
  </si>
  <si>
    <t>Total capital expenditures for research operations that went towards buildings and land improvement</t>
  </si>
  <si>
    <t>E.20.c</t>
  </si>
  <si>
    <t>CPEQP</t>
  </si>
  <si>
    <t>CAPEX_RSRCH_EQUIP_VAL</t>
  </si>
  <si>
    <t>Total capital expenditures for research operations that went towards equipment</t>
  </si>
  <si>
    <t>E.20.d</t>
  </si>
  <si>
    <t>CPSFT</t>
  </si>
  <si>
    <t>CAPEX_RSRCH_SOFTWARE_VAL</t>
  </si>
  <si>
    <t>Total capital expenditures for research operations that went towards capitalized software</t>
  </si>
  <si>
    <t>E.20.e</t>
  </si>
  <si>
    <t>OTHERCEXP</t>
  </si>
  <si>
    <t>CAPEX_RSRCH_OTH_VAL</t>
  </si>
  <si>
    <t>Total capital expenditures for research operations that went towards all other capital expenditures</t>
  </si>
  <si>
    <t>E.20.TOT</t>
  </si>
  <si>
    <t xml:space="preserve">CPTOT </t>
  </si>
  <si>
    <t>CAPEX_RSRCH_TOT_DVAL</t>
  </si>
  <si>
    <t>Total capital expenditures for research operations by capital expenditure category</t>
  </si>
  <si>
    <t>E.20.RMK</t>
  </si>
  <si>
    <t>CPTOTWI</t>
  </si>
  <si>
    <t>CAPEX_RSRCH_TOT_DVAL_TXT</t>
  </si>
  <si>
    <t>F.1.a</t>
  </si>
  <si>
    <t>B_IP_UTILITY </t>
  </si>
  <si>
    <t>INTELL_PROP_UTILITY_STAT</t>
  </si>
  <si>
    <t>Intangible Asset</t>
  </si>
  <si>
    <t>Yes/No if business protects IP with utility patents</t>
  </si>
  <si>
    <t>F.1.b</t>
  </si>
  <si>
    <t>B_IP_DESIGN </t>
  </si>
  <si>
    <t>INTELL_PROP_DESIGN_STAT</t>
  </si>
  <si>
    <t>Yes/No if business protects IP with design patents</t>
  </si>
  <si>
    <t>F.1.c</t>
  </si>
  <si>
    <t>B_IP_COPYRIGHT </t>
  </si>
  <si>
    <t>INTELL_PROP_COPY_STAT</t>
  </si>
  <si>
    <t>Yes/No if business protects IP with copyright</t>
  </si>
  <si>
    <t>F.1.d</t>
  </si>
  <si>
    <t>B_IP_TRADE </t>
  </si>
  <si>
    <t>INTELL_PROP_TRADE_STAT</t>
  </si>
  <si>
    <t>Yes/No if business protects IP with trademarks</t>
  </si>
  <si>
    <t>F.1.e</t>
  </si>
  <si>
    <t>B_IP_COMPLEX </t>
  </si>
  <si>
    <t>INTELL_PROP_COMPLEX_STAT</t>
  </si>
  <si>
    <t>Yes/No if business protects IP with design complexity</t>
  </si>
  <si>
    <t>F.1.f</t>
  </si>
  <si>
    <t>B_IP_CLAUSE </t>
  </si>
  <si>
    <t>INTELL_PROP_CLAUSE_ STAT</t>
  </si>
  <si>
    <t>Yes/No if business protects IP with NDAs or noncompete clauses</t>
  </si>
  <si>
    <t>F.1.g</t>
  </si>
  <si>
    <t>B_IP_IMAGE </t>
  </si>
  <si>
    <t>INTELL_PROP_IMAGE_STAT</t>
  </si>
  <si>
    <t>Yes/No if business protects IP with branding</t>
  </si>
  <si>
    <t>F.1.h</t>
  </si>
  <si>
    <t>B_IP_SECRETS </t>
  </si>
  <si>
    <t>INTELL_PROP_SECRETS_STAT</t>
  </si>
  <si>
    <t>Yes/No if business protects IP with trade secret</t>
  </si>
  <si>
    <t>F.2</t>
  </si>
  <si>
    <t>B_PATENT_PENDING</t>
  </si>
  <si>
    <t>PATENT_PENDING_NUM</t>
  </si>
  <si>
    <t>Number of patent applications pending</t>
  </si>
  <si>
    <t>F.3</t>
  </si>
  <si>
    <t>B_PATENT_OWNED </t>
  </si>
  <si>
    <t>PATENT_OWNED_NUM</t>
  </si>
  <si>
    <t>Number of patents owned</t>
  </si>
  <si>
    <t>F.4.a</t>
  </si>
  <si>
    <t>B_IP_ACT_PURCHASE </t>
  </si>
  <si>
    <t>INTELL_PROP_ACT_PURCH_STAT</t>
  </si>
  <si>
    <t>Yes/No if business licensed or purchased IP from non-affiliated businesses</t>
  </si>
  <si>
    <t>F.4.b</t>
  </si>
  <si>
    <t>B_IP_ACT_SOLD </t>
  </si>
  <si>
    <t>INTELL_PROP_ACT_SOLD_STAT</t>
  </si>
  <si>
    <t>Yes/No if business licensed or sold IP to non-affiliated businesses</t>
  </si>
  <si>
    <t>F.4.c</t>
  </si>
  <si>
    <t>B_IP_ACT_TRANSFER </t>
  </si>
  <si>
    <t>INTELL_PROP_ACT_TRANSFER_STAT</t>
  </si>
  <si>
    <t>Yes/No if business transferred IP through "know-how" agreements to non-affiliated businesses</t>
  </si>
  <si>
    <t>F.4.d</t>
  </si>
  <si>
    <t>B_IP_ACT_RECEIVED </t>
  </si>
  <si>
    <t>INTELL_PROP_ACT_RECEIVED_STAT</t>
  </si>
  <si>
    <t>Yes/No if business received IP through "know-how" agreements to non-affiliated businesses</t>
  </si>
  <si>
    <t>F.4.e</t>
  </si>
  <si>
    <t>B_IP_ACT_CROSS </t>
  </si>
  <si>
    <t>INTELL_PROP_ACT_CROSS_STAT</t>
  </si>
  <si>
    <t>Yes/No if business participated in cross-licensing agreements with non-affiliated businesses</t>
  </si>
  <si>
    <t>F.4.f</t>
  </si>
  <si>
    <t>B_IP_ACT_ACQUIRED   </t>
  </si>
  <si>
    <t>INTELL_PROP_ACT_ACQUIRED_STAT</t>
  </si>
  <si>
    <t>Yes/No if business acquired or merged with non-affiliated businesses to acquire their IP</t>
  </si>
  <si>
    <t>F.4.g</t>
  </si>
  <si>
    <t>B_IP_ACT_SPINOFF </t>
  </si>
  <si>
    <t>INTELL_PROP_ACT_SPINOFF_STAT</t>
  </si>
  <si>
    <t>Yes/No if business transferred IP to a spin-off of this business</t>
  </si>
  <si>
    <t>F.4.h</t>
  </si>
  <si>
    <t>B_IP_ACT_PARENT </t>
  </si>
  <si>
    <t>INTELL_PROP_ACT_PARENT_STAT</t>
  </si>
  <si>
    <t>Yes/No if business received IP from parent company as part of a spin-off</t>
  </si>
  <si>
    <t>F.4.i</t>
  </si>
  <si>
    <t>B_IP_ACT_FREE</t>
  </si>
  <si>
    <t>INTELL_PROP_ACT_FREE_STAT</t>
  </si>
  <si>
    <t>Yes/No if business allowed free use of patents/IP they owned</t>
  </si>
  <si>
    <t>F.4.j</t>
  </si>
  <si>
    <t>B_IP_ACT_OPEN </t>
  </si>
  <si>
    <t>INTELL_PROP_ACT_OPEN_STAT</t>
  </si>
  <si>
    <t>Yes/No if business made use of open-source or freely available patents/IP</t>
  </si>
  <si>
    <t>F.5.a</t>
  </si>
  <si>
    <t>B_COLLABU_COMPANY </t>
  </si>
  <si>
    <t>COLLABU_COMPANY_RAD</t>
  </si>
  <si>
    <t>Jobs</t>
  </si>
  <si>
    <t>Yes/No if business performed collaborative research with university researchers</t>
  </si>
  <si>
    <t>F.5.b</t>
  </si>
  <si>
    <t>B_COLLABU_FUNDED </t>
  </si>
  <si>
    <t>COLLABU_FUNDED_RAD</t>
  </si>
  <si>
    <t>Yes/No if business funded university research</t>
  </si>
  <si>
    <t>F.5.c</t>
  </si>
  <si>
    <t>B_COLLABU_PHD</t>
  </si>
  <si>
    <t>COLLABU_PHD_RAD</t>
  </si>
  <si>
    <t>Yes/No if business funded PhD or postdoctoral researchers at universities</t>
  </si>
  <si>
    <t>F.5.d</t>
  </si>
  <si>
    <t>B_COLLABU_PURCHASE</t>
  </si>
  <si>
    <t>COLLABU_PURCHASE_RAD</t>
  </si>
  <si>
    <t>Yes/No if business licensed or purchased IP from a university</t>
  </si>
  <si>
    <t>F.5.e</t>
  </si>
  <si>
    <t>B_COLLABU_AGREE</t>
  </si>
  <si>
    <t>COLLABU_AGREE_RAD</t>
  </si>
  <si>
    <t>Yes/No if business signed agreements pertaining to IP with universities</t>
  </si>
  <si>
    <t>F.5.f</t>
  </si>
  <si>
    <t>B_COLLABU_ENGINEER</t>
  </si>
  <si>
    <t>COLLABU_ENGINEER_RAD</t>
  </si>
  <si>
    <t>Personnel Decisions</t>
  </si>
  <si>
    <t>Yes/No if business hired science/engineering graduates</t>
  </si>
  <si>
    <t>F.5.g</t>
  </si>
  <si>
    <t>B_COLLABU_ENGAGED</t>
  </si>
  <si>
    <t>COLLABU_ENGAGED_RAD</t>
  </si>
  <si>
    <t>Yes/No if business exchanged personnel with universities</t>
  </si>
  <si>
    <t>F.6.a</t>
  </si>
  <si>
    <t>B_COLLABG_AGREE </t>
  </si>
  <si>
    <t>COLLABG_AGREE_STAT</t>
  </si>
  <si>
    <t>Yes/No if business collaboratively researched with federal laboratories</t>
  </si>
  <si>
    <t>F.6.b</t>
  </si>
  <si>
    <t>B_COLLABG_FACILITY</t>
  </si>
  <si>
    <t>COLLABG_FACILITY_STAT</t>
  </si>
  <si>
    <t>Yes/No if business researched at government user facilities</t>
  </si>
  <si>
    <t>F.6.c</t>
  </si>
  <si>
    <t>B_COLLABG_FUNDED</t>
  </si>
  <si>
    <t>COLLABG_FUNDED_STAT</t>
  </si>
  <si>
    <t>Yes/No if business funded research at federal laboratories</t>
  </si>
  <si>
    <t>F.6.d</t>
  </si>
  <si>
    <t>B_COLLABG_LICENSED</t>
  </si>
  <si>
    <t>COLLABG_LICENSED_STAT</t>
  </si>
  <si>
    <t>Yes/No if business licensed IP from federal laboratories</t>
  </si>
  <si>
    <t>F.6.e</t>
  </si>
  <si>
    <t>B_COLLABG_ENGAGED</t>
  </si>
  <si>
    <t>COLLABG_ENGAGED_STAT</t>
  </si>
  <si>
    <t>Yes/No if business exchanged personnel with federal laboratories</t>
  </si>
  <si>
    <t>F.6.f</t>
  </si>
  <si>
    <t>B_COLLABG_WORKSHOP </t>
  </si>
  <si>
    <t>COLLABG_WORKSHOP_STAT</t>
  </si>
  <si>
    <t>Yes/No if business attended workshops or seminars hosted by federal laboratories</t>
  </si>
  <si>
    <t>F.7</t>
  </si>
  <si>
    <t>B_COLLAB</t>
  </si>
  <si>
    <t>COLLAB_STAT</t>
  </si>
  <si>
    <t xml:space="preserve">Yes/No if business collaborated with these federal agencies </t>
  </si>
  <si>
    <t>F.8.a</t>
  </si>
  <si>
    <t>B_COLLABNP_RESEARCH</t>
  </si>
  <si>
    <t>COLLABNP_RESRCH_STAT</t>
  </si>
  <si>
    <t>Yes/No if business collaboratively researched with nonprofit researchers</t>
  </si>
  <si>
    <t>F.8.b</t>
  </si>
  <si>
    <t>B_COLLABNP_FUNDED</t>
  </si>
  <si>
    <t>COLLABNP_FUNDED_STAT</t>
  </si>
  <si>
    <t>Yes/No if business funded research at a nonprofit</t>
  </si>
  <si>
    <t>F.8.c</t>
  </si>
  <si>
    <t>B_COLLABNP_LICENSED </t>
  </si>
  <si>
    <t>COLLABNP_LICENSED_STAT</t>
  </si>
  <si>
    <t>Yes/No if business licensed or purchased IP from a nonprofit</t>
  </si>
  <si>
    <t>F.8.d</t>
  </si>
  <si>
    <t>B_COLLABNP_NDA</t>
  </si>
  <si>
    <t>COLLABNP_NDA_STAT</t>
  </si>
  <si>
    <t>Yes/No if business signed agreements pertaining to IP with a nonprofit</t>
  </si>
  <si>
    <t>F.8.e</t>
  </si>
  <si>
    <t>B_COLLABNP_ENGAGED </t>
  </si>
  <si>
    <t>COLLABNP_ENGAGED_STAT</t>
  </si>
  <si>
    <t>Yes/No if business exchanged personnel with a nonprofit</t>
  </si>
  <si>
    <t>G.1</t>
  </si>
  <si>
    <t>B_WORLDEXP_TOTAL </t>
  </si>
  <si>
    <t>EXPS_WORLD_TOT_VAL</t>
  </si>
  <si>
    <t>Total worldwide operating expenses</t>
  </si>
  <si>
    <t>G.2</t>
  </si>
  <si>
    <t>B_OPEXPENSE </t>
  </si>
  <si>
    <t>Total domestic operating expenses</t>
  </si>
  <si>
    <t>G.3.a</t>
  </si>
  <si>
    <t>B_ACTIVITYUC_CORE </t>
  </si>
  <si>
    <t>UNAFFIL_US_COREPRD_STAT</t>
  </si>
  <si>
    <t>Yes/No if domestic unaffiliated companies conducted core production for this business</t>
  </si>
  <si>
    <t>G.3.b</t>
  </si>
  <si>
    <t>B_ACTIVITYUC_LOG </t>
  </si>
  <si>
    <t>UNAFFIL_US_LOGISTICS_STAT</t>
  </si>
  <si>
    <t>Yes/No if domestic unaffiliated companies conducted distribution and logistics for this business</t>
  </si>
  <si>
    <t>G.3.c</t>
  </si>
  <si>
    <t>B_ACTIVITYUC_SALE </t>
  </si>
  <si>
    <t>UNAFFIL_US_MARKETING_STAT</t>
  </si>
  <si>
    <t>Yes/No if domestic unaffiliated companies conducted marketing or sales services for this business</t>
  </si>
  <si>
    <t>G.3.d</t>
  </si>
  <si>
    <t>B_ACTIVITYUC_ADMIN </t>
  </si>
  <si>
    <t>UNAFFIL_US_ADMIN_STAT</t>
  </si>
  <si>
    <t>Yes/No if domestic unaffiliated companies conducted administrative or management functions for this business</t>
  </si>
  <si>
    <t>G.3.e</t>
  </si>
  <si>
    <t>B_ACTIVITYUC_RD </t>
  </si>
  <si>
    <t>UNAFFIL_US_RD_STAT</t>
  </si>
  <si>
    <t>Yes/No if domestic unaffiliated companies conducted R&amp;D for this business</t>
  </si>
  <si>
    <t>G.3.f</t>
  </si>
  <si>
    <t>B_ACTIVITYUC_ENG </t>
  </si>
  <si>
    <t>UNAFFIL_US_ENGINEER_STAT</t>
  </si>
  <si>
    <t>Yes/No if domestic unaffiliated companies conducted engineering for this business</t>
  </si>
  <si>
    <t>G.3.g</t>
  </si>
  <si>
    <t>B_ACTIVITYUC_INFO </t>
  </si>
  <si>
    <t>UNAFFIL_US_INFOTEC_STAT</t>
  </si>
  <si>
    <t>Yes/No if domestic unaffiliated companies conducted information and communication tech services for this business</t>
  </si>
  <si>
    <t>G.3.h</t>
  </si>
  <si>
    <t>B_ACTIVITYUC_OTHER </t>
  </si>
  <si>
    <t>UNAFFIL_US_EXPS_OTH_STAT</t>
  </si>
  <si>
    <t>Yes/No if domestic unaffiliated companies were involved in any other operating expenses</t>
  </si>
  <si>
    <t>G.4.a</t>
  </si>
  <si>
    <t>B_ACTIVITYUFC_CORE</t>
  </si>
  <si>
    <t>UNAFFIL_NONUS_COREPRD_STAT</t>
  </si>
  <si>
    <t>Yes/No if foreign unaffiliated companies conducted core production for this business</t>
  </si>
  <si>
    <t>G.4.b</t>
  </si>
  <si>
    <t>B_ACTIVITYUFC_LOG </t>
  </si>
  <si>
    <t>UNAFFIL_NONUS_LOGSTC_STAT</t>
  </si>
  <si>
    <t>Yes/No if foreign unaffiliated companies conducted distribution and logistics for this business</t>
  </si>
  <si>
    <t>G.4.c</t>
  </si>
  <si>
    <t>B_ACTIVITYUFC_SALE </t>
  </si>
  <si>
    <t>UNAFFIL_NONUS_SALES_STAT</t>
  </si>
  <si>
    <t>Yes/No if foreign unaffiliated companies conducted marketing or sales services for this business</t>
  </si>
  <si>
    <t>G.4.d</t>
  </si>
  <si>
    <t>B_ACTIVITYUFC_ADMIN </t>
  </si>
  <si>
    <t>UNAFFIL_NONUS_ADMIN_STAT</t>
  </si>
  <si>
    <t>Yes/No if foreign unaffiliated companies conducted administrative or management functions for this business</t>
  </si>
  <si>
    <t>G.4.e</t>
  </si>
  <si>
    <t>B_ACTIVITYUFC_RD </t>
  </si>
  <si>
    <t>UNAFFIL_NONUS_RD_STAT</t>
  </si>
  <si>
    <t>Yes/No if foreign unaffiliated companies conducted R&amp;D for this business</t>
  </si>
  <si>
    <t>G.4.f</t>
  </si>
  <si>
    <t>B_ACTIVITYUFC_ENG </t>
  </si>
  <si>
    <t>UNAFFIL_NONUS_ENGINEER_STAT</t>
  </si>
  <si>
    <t>Yes/No if foreign unaffiliated companies conducted engineering for this business</t>
  </si>
  <si>
    <t>G.4.g</t>
  </si>
  <si>
    <t>B_ACTIVITYUFC_INFO</t>
  </si>
  <si>
    <t>UNAFFIL_NONUS_INFOTEC_STAT</t>
  </si>
  <si>
    <t>Yes/No if foreign unaffiliated companies conducted information and communication tech services for this business</t>
  </si>
  <si>
    <t>G.4.h</t>
  </si>
  <si>
    <t>B_ACTIVITYUFC_OTHER </t>
  </si>
  <si>
    <t>UNAFFIL_NONUS_EXPS_OTH_STAT</t>
  </si>
  <si>
    <t>Yes/No if foreign unaffiliated companies were involved in any other operating expenses</t>
  </si>
  <si>
    <t>G.5.a</t>
  </si>
  <si>
    <t>AFFIL_NONUS_COREPRD_STAT</t>
  </si>
  <si>
    <t>Yes/No if foreign affiliated companies conducted core production for this business</t>
  </si>
  <si>
    <t>G.5.b</t>
  </si>
  <si>
    <t>AFFIL_NONUS_LOGSTC_STAT</t>
  </si>
  <si>
    <t>Yes/No if foreign affiliated companies conducted distribution and logistics for this business</t>
  </si>
  <si>
    <t>G.5.c</t>
  </si>
  <si>
    <t>AFFIL_NONUS_SALES_STAT</t>
  </si>
  <si>
    <t>Yes/No if foreign affiliated companies conducted marketing or sales services for this business</t>
  </si>
  <si>
    <t>G.5.d</t>
  </si>
  <si>
    <t>AFFIL_NONUS_ADMIN_STAT</t>
  </si>
  <si>
    <t>Yes/No if foreign affiliated companies conducted administrative or management functions for this business</t>
  </si>
  <si>
    <t>G.5.e</t>
  </si>
  <si>
    <t>AFFIL_NONUS_RD_STAT</t>
  </si>
  <si>
    <t>Yes/No if foreign affiliated companies conducted R&amp;D for this business</t>
  </si>
  <si>
    <t>G.5.f</t>
  </si>
  <si>
    <t>AFFIL_NONUS_ENGINEER_STAT</t>
  </si>
  <si>
    <t>Yes/No if foreign affiliated companies conducted engineering for this business</t>
  </si>
  <si>
    <t>G.5.g</t>
  </si>
  <si>
    <t>AFFIL_NONUS_INFOTEC_STAT</t>
  </si>
  <si>
    <t>Yes/No if foreign affiliated companies conducted information and communication tech services for this business</t>
  </si>
  <si>
    <t>G.5.h</t>
  </si>
  <si>
    <t>AFFIL_NONUS_EXPS_OTH_STAT</t>
  </si>
  <si>
    <t>Yes/No if foreign affiliated companies were involved in any other operating expenses</t>
  </si>
  <si>
    <t>G.6</t>
  </si>
  <si>
    <t>B_MANACTIVITY </t>
  </si>
  <si>
    <t>MAN_US_STAT</t>
  </si>
  <si>
    <t>Process structure</t>
  </si>
  <si>
    <t>Yes/No if business manufactured goods in the US</t>
  </si>
  <si>
    <t>G.7</t>
  </si>
  <si>
    <t>B_CONTRACTOUT</t>
  </si>
  <si>
    <t>MAN_CONTRACTOUT_STAT</t>
  </si>
  <si>
    <t>Yes/No if business contracted out manufacturing tasks</t>
  </si>
  <si>
    <t>G.8</t>
  </si>
  <si>
    <t>B_CONTRACTOUT_TYPE</t>
  </si>
  <si>
    <t>MAN_CONTRACTOUT_CHKBOX</t>
  </si>
  <si>
    <t xml:space="preserve">Type of companies that manufacturing was contracted out to </t>
  </si>
  <si>
    <t>G.9</t>
  </si>
  <si>
    <t>B_DESIGNOUT </t>
  </si>
  <si>
    <t>MAN_DESIGNOUT_STAT</t>
  </si>
  <si>
    <t>Yes/No if business provided design for goods that were contracted out</t>
  </si>
  <si>
    <t>G.10</t>
  </si>
  <si>
    <t>B_CONTRACTIN</t>
  </si>
  <si>
    <t>MAN_CONTRACTIN_STAT</t>
  </si>
  <si>
    <t xml:space="preserve">Yes/No if business performed manufacturing tasks for other companies in the US </t>
  </si>
  <si>
    <t>G.11</t>
  </si>
  <si>
    <t>B_CONTRACTIN_TYPE </t>
  </si>
  <si>
    <t>MAN_CONTRACTIN_CHKBOX</t>
  </si>
  <si>
    <t>Types of companies that this business performed manufacturing for</t>
  </si>
  <si>
    <t>G.12</t>
  </si>
  <si>
    <t>B_DESIGNIN </t>
  </si>
  <si>
    <t>MAN_DESIGNIN_STAT</t>
  </si>
  <si>
    <t>Yes/No if business provided designs for goods that were manufactured for other businesses</t>
  </si>
  <si>
    <t>G.13</t>
  </si>
  <si>
    <t>B_RESHORE</t>
  </si>
  <si>
    <t>PRD_RESHORE_STAT</t>
  </si>
  <si>
    <t>Yes/No if business moved any production of goods or services from another country to the US</t>
  </si>
  <si>
    <t>G.14</t>
  </si>
  <si>
    <t>B_RSREASON</t>
  </si>
  <si>
    <t>PRD_RESHORE_RSN_CHKBOX</t>
  </si>
  <si>
    <t xml:space="preserve">Reasons why business moved production from another country to the US </t>
  </si>
  <si>
    <t xml:space="preserve">H.1 </t>
  </si>
  <si>
    <t>B_PRODSVC_PROB</t>
  </si>
  <si>
    <t>PRODSVC_PROB_CODE</t>
  </si>
  <si>
    <t xml:space="preserve">The actions taken when a production or service problem arose </t>
  </si>
  <si>
    <t xml:space="preserve">H.2 </t>
  </si>
  <si>
    <t>B_NUMKPI</t>
  </si>
  <si>
    <t>KPI_MONITOR_NUM</t>
  </si>
  <si>
    <t xml:space="preserve">Number of key performance indicators monitored by this business </t>
  </si>
  <si>
    <t xml:space="preserve">H.3 </t>
  </si>
  <si>
    <t>B_FREQKPI</t>
  </si>
  <si>
    <t>KPI_MONITOR_FREQ_CODE</t>
  </si>
  <si>
    <t>How frequently key performance indicators are monitored by this business</t>
  </si>
  <si>
    <t xml:space="preserve">H.4 </t>
  </si>
  <si>
    <t>B_FREQCSM</t>
  </si>
  <si>
    <t>CUST_SATISFACT_FREQ_CODE</t>
  </si>
  <si>
    <t>How frequently customer satisfaction is monitored by this business</t>
  </si>
  <si>
    <t xml:space="preserve">H.5 </t>
  </si>
  <si>
    <t>B_BUSTARGET</t>
  </si>
  <si>
    <t>PROD_TARG_TIMEFRM_CODE</t>
  </si>
  <si>
    <t>Production Targets</t>
  </si>
  <si>
    <t>The timeframe that the business focused on for production targets</t>
  </si>
  <si>
    <t xml:space="preserve">H.6 </t>
  </si>
  <si>
    <t>B_DIFF_TARGETS</t>
  </si>
  <si>
    <t>PROD_TARG_EFFORT_CODE</t>
  </si>
  <si>
    <t>Amount of effort it took to meet production targets</t>
  </si>
  <si>
    <t xml:space="preserve">H.7 </t>
  </si>
  <si>
    <t>B_PROMOTE_PERF</t>
  </si>
  <si>
    <t>PROMOTION_METHOD_CODE</t>
  </si>
  <si>
    <t>Primary method that employees are promoted at this business</t>
  </si>
  <si>
    <t xml:space="preserve">H.8 </t>
  </si>
  <si>
    <t>B_UNDERPERFORM</t>
  </si>
  <si>
    <t>EMP_UNDERPERFORM_CODE</t>
  </si>
  <si>
    <t>Whether an underperforming employee was reassigned or dismissed by this business</t>
  </si>
  <si>
    <t>H.9</t>
  </si>
  <si>
    <t>B_TRAINEXP_TOT</t>
  </si>
  <si>
    <t>EXPS_TRAIN_VAL</t>
  </si>
  <si>
    <t xml:space="preserve">Amount spent on formal training programs </t>
  </si>
  <si>
    <t xml:space="preserve">H.10 </t>
  </si>
  <si>
    <t>B_EMPTRAIN_PCT</t>
  </si>
  <si>
    <t>EMP_TRAIN_PCT</t>
  </si>
  <si>
    <t>Percent of employees that received formal training</t>
  </si>
  <si>
    <t>H.11</t>
  </si>
  <si>
    <t>B_EMPTRAIN_HRS</t>
  </si>
  <si>
    <t>EMP_TRAIN_HRS_AVG</t>
  </si>
  <si>
    <t>Average number of hours of training that employees at this business received</t>
  </si>
  <si>
    <t>H.12</t>
  </si>
  <si>
    <t>B_EMPTRAIN</t>
  </si>
  <si>
    <t>EMP_TRAIN_AREA_CHKBOX</t>
  </si>
  <si>
    <t>The areas covered by employee training</t>
  </si>
  <si>
    <t>I.1.</t>
  </si>
  <si>
    <t xml:space="preserve">RESP_CONTACT_NAME </t>
  </si>
  <si>
    <t>CERT_NAME_TXT</t>
  </si>
  <si>
    <t>Collection Process</t>
  </si>
  <si>
    <t>Point of Contact</t>
  </si>
  <si>
    <t>Contact Information: Name</t>
  </si>
  <si>
    <t xml:space="preserve">
RESP_TITLE   </t>
  </si>
  <si>
    <t>CERT_TITLE_TXT</t>
  </si>
  <si>
    <t>Contact Information: Title</t>
  </si>
  <si>
    <t xml:space="preserve">RESP_PHONE_AREA_CODE
RESP_PHONE_PREFIX, RESP_PHONE_SUFFIX, </t>
  </si>
  <si>
    <t>CERT_PHONE_NUM</t>
  </si>
  <si>
    <t>PHONE</t>
  </si>
  <si>
    <t>Contact Information: Phone</t>
  </si>
  <si>
    <t xml:space="preserve">RESP_PHONE_EXT </t>
  </si>
  <si>
    <t>CERT_EXTENSION_NUM</t>
  </si>
  <si>
    <t>Contact Information: Extension</t>
  </si>
  <si>
    <t xml:space="preserve">RESP_EMAIL  </t>
  </si>
  <si>
    <t>CERT_EMAIL_TXT</t>
  </si>
  <si>
    <t>EMAIL</t>
  </si>
  <si>
    <t>Contact Information: Email</t>
  </si>
  <si>
    <t>['A'..'Z','a'..'z','0'..'9','&amp;','#','-','/',''','\','.','@',' ']</t>
  </si>
  <si>
    <t>I.2</t>
  </si>
  <si>
    <t>B_PROXY</t>
  </si>
  <si>
    <t>PROXY_REPRT_CODE</t>
  </si>
  <si>
    <t>Yes/No if person is reporting in behalf of business owners</t>
  </si>
  <si>
    <t>I.3</t>
  </si>
  <si>
    <t>RESP_REMARKS</t>
  </si>
  <si>
    <t>REMARKS_WRTIN_TXT</t>
  </si>
  <si>
    <t>Remarks</t>
  </si>
  <si>
    <t>Remarks about reported data</t>
  </si>
  <si>
    <t>MOPS 2021 Q.11</t>
  </si>
  <si>
    <t>PERFBONUSM</t>
  </si>
  <si>
    <t>EMP_MNG_BONUS_CODE</t>
  </si>
  <si>
    <t>What were managers’ performance bonuses usually based on at this company</t>
  </si>
  <si>
    <t>MOPS 2021 Q.12</t>
  </si>
  <si>
    <t>RECPERFBNSM</t>
  </si>
  <si>
    <t>EMP_MNG_TARG_BONUS_PCT</t>
  </si>
  <si>
    <t>When production targets were met, what percent of managers at this company received performance bonuses</t>
  </si>
  <si>
    <t>MOPS 2021 Q.14</t>
  </si>
  <si>
    <t>PROMOTEM</t>
  </si>
  <si>
    <t>EMP_MNG_PROMOTE_CODE</t>
  </si>
  <si>
    <t>What was the primary way managers were promoted at this company</t>
  </si>
  <si>
    <t>MOPS 2021 Q.16</t>
  </si>
  <si>
    <t>UNDPERFNM</t>
  </si>
  <si>
    <t>EMP_NONMNG_UNDRPERFRM_CODE</t>
  </si>
  <si>
    <t>When was an under-performing manager reassigned or dismissed at this company</t>
  </si>
  <si>
    <t>MOPS 2021 Q.28A</t>
  </si>
  <si>
    <t>DESCANALYSIS</t>
  </si>
  <si>
    <t>DEC_DATA_DESCRPT_TYP_CODE</t>
  </si>
  <si>
    <t>Data Based Decisions</t>
  </si>
  <si>
    <t>What descriptive analyses of data were typically used to support making key decisions at this company</t>
  </si>
  <si>
    <t>MOPS 2021 Q.31</t>
  </si>
  <si>
    <t>AIENVSAFETY</t>
  </si>
  <si>
    <t>AI_ENVIRON_SAFETY_CODE</t>
  </si>
  <si>
    <t xml:space="preserve">What extent did this company use artificial intelligence (including machine learning algorithms in software applications) to support production scheduling and monitoring       </t>
  </si>
  <si>
    <t>AIEQUIPMAIN</t>
  </si>
  <si>
    <t>AI_EQUIP_MAINTN_CODE</t>
  </si>
  <si>
    <t xml:space="preserve">What extent did this company use artificial intelligence (including machine learning algorithms in software applications) to support quality control                                                 </t>
  </si>
  <si>
    <t>AIPRDMON</t>
  </si>
  <si>
    <t>AI_PROD_SCHED_CODE</t>
  </si>
  <si>
    <t xml:space="preserve">What extent did this company use artificial intelligence (including machine learning algorithms in software applications) to support environmental or safety compliance                                                   </t>
  </si>
  <si>
    <t>AIQUALC</t>
  </si>
  <si>
    <t>AI_QUAL_CTRL_CODE</t>
  </si>
  <si>
    <t xml:space="preserve">What extent did this company use artificial intelligence (including machine learning algorithms in software applications) to support equipment maintenance                                                       </t>
  </si>
  <si>
    <t>AISALESFOR</t>
  </si>
  <si>
    <t>AI_SALES_FORECAST_CODE</t>
  </si>
  <si>
    <t xml:space="preserve">What extent did this company use artificial intelligence (including machine learning algorithms in software applications) to support supply chain management and logistics                                                 </t>
  </si>
  <si>
    <t>AISPLYCHNMGT</t>
  </si>
  <si>
    <t>AI_SUPPLY_CHAIN_CODE</t>
  </si>
  <si>
    <t xml:space="preserve">What extent did this company use artificial intelligence (including machine learning algorithms in software applications) to supportsSales forecasting                                                                                       </t>
  </si>
  <si>
    <t>MOPS 2021 Q.34</t>
  </si>
  <si>
    <t>PDELAYAIUSE</t>
  </si>
  <si>
    <t>AI_PREVENT_DELAY_CODE</t>
  </si>
  <si>
    <r>
      <t>Factors that prevented or delayed the use of artificial intelligence</t>
    </r>
    <r>
      <rPr>
        <b/>
        <sz val="11"/>
        <color theme="1"/>
        <rFont val="Calibri"/>
        <family val="2"/>
        <scheme val="minor"/>
      </rPr>
      <t xml:space="preserve"> </t>
    </r>
    <r>
      <rPr>
        <sz val="11"/>
        <color theme="1"/>
        <rFont val="Calibri"/>
        <family val="2"/>
        <scheme val="minor"/>
      </rPr>
      <t>at this company</t>
    </r>
  </si>
  <si>
    <t>MOPS 2021 Q.46</t>
  </si>
  <si>
    <t>EXTERNALCPA</t>
  </si>
  <si>
    <t>CPA_EXTRN_RETAIN_CODE</t>
  </si>
  <si>
    <t>Did this company retain an external Certified Public Accountant to conduct an audit, review, or compilation of its financial statements</t>
  </si>
  <si>
    <t>MOPS-NEW1</t>
  </si>
  <si>
    <t>AUD_FREQ_CODE</t>
  </si>
  <si>
    <t>Frequency of financial audits</t>
  </si>
  <si>
    <t>MOPS-NEW2</t>
  </si>
  <si>
    <t>AUD_EXTRN_SVCS_CODE</t>
  </si>
  <si>
    <t>Purchased Services</t>
  </si>
  <si>
    <t>Length of services of the current external audit firm</t>
  </si>
  <si>
    <t>MOPS-NEW3</t>
  </si>
  <si>
    <t>AUD_TXPRP_CONSL_CODE</t>
  </si>
  <si>
    <r>
      <t>Does the external CPA firm that conducts audits provide tax preparation and consulting services</t>
    </r>
    <r>
      <rPr>
        <sz val="11"/>
        <color rgb="FF000000"/>
        <rFont val="Calibri"/>
        <scheme val="minor"/>
      </rPr>
      <t xml:space="preserve"> </t>
    </r>
  </si>
  <si>
    <t>SPIDER VARIABLE TYPES TO QDM VARIABLE SUB TYPES CONVERSION</t>
  </si>
  <si>
    <t>SPIDER VARIABLE TYPE</t>
  </si>
  <si>
    <t>CORRESPONDING QDM VARIABLE SUB TYPE(S)</t>
  </si>
  <si>
    <t>ADDITIONAL NOTES</t>
  </si>
  <si>
    <t>CLASSIFICATION</t>
  </si>
  <si>
    <t>May not come into QDM; handled by Mojo</t>
  </si>
  <si>
    <t>e.g., CONTROL NUMBER, CASEID</t>
  </si>
  <si>
    <t>DATE</t>
  </si>
  <si>
    <t>MMDDYYYY</t>
  </si>
  <si>
    <t>DECIMAL</t>
  </si>
  <si>
    <t>ENUMERATED</t>
  </si>
  <si>
    <t>Mark one</t>
  </si>
  <si>
    <t>INTEGER</t>
  </si>
  <si>
    <t>Whole number</t>
  </si>
  <si>
    <t xml:space="preserve">Numerical calculations </t>
  </si>
  <si>
    <t>ZIP</t>
  </si>
  <si>
    <t>Added validations for ZIP (e.g., valid State x ZIP; ZIP is appropriate length (5 or 9-digits))</t>
  </si>
  <si>
    <t>OPEN</t>
  </si>
  <si>
    <t>Big block of text</t>
  </si>
  <si>
    <t>SET</t>
  </si>
  <si>
    <t>Mark all that apply</t>
  </si>
  <si>
    <r>
      <t>STRING</t>
    </r>
    <r>
      <rPr>
        <sz val="11"/>
        <color rgb="FFFF0000"/>
        <rFont val="Calibri"/>
        <family val="2"/>
        <scheme val="minor"/>
      </rPr>
      <t>*</t>
    </r>
  </si>
  <si>
    <t xml:space="preserve">Single row of text; Phone extension </t>
  </si>
  <si>
    <t>Added validations for Phone (e.g., 1-800-123-4567).  Phone extension should be TEXT.</t>
  </si>
  <si>
    <t>TIME</t>
  </si>
  <si>
    <r>
      <rPr>
        <sz val="11"/>
        <color rgb="FFFF0000"/>
        <rFont val="Calibri"/>
        <family val="2"/>
        <scheme val="minor"/>
      </rPr>
      <t>*</t>
    </r>
    <r>
      <rPr>
        <sz val="11"/>
        <color theme="1"/>
        <rFont val="Calibri"/>
        <family val="2"/>
        <scheme val="minor"/>
      </rPr>
      <t>: If there are numerical values (e.g., Income) that had previously been a STRING, these should be set to CURRENCY or NUMBER to have calculations.</t>
    </r>
  </si>
  <si>
    <t>ECON DIRECTORATE SURVEYS</t>
  </si>
  <si>
    <t>DEMO and DECENNIAL DIRECTORATE SURVEYS</t>
  </si>
  <si>
    <t>Variable Type</t>
  </si>
  <si>
    <t>Mode</t>
  </si>
  <si>
    <t>TOPIC
(Unduplicated)</t>
  </si>
  <si>
    <t>TOPIC</t>
  </si>
  <si>
    <t>SUBTOPIC</t>
  </si>
  <si>
    <t>Valid Character Sets</t>
  </si>
  <si>
    <t>Paper Valid Character Sets</t>
  </si>
  <si>
    <t>Register Load Table Code</t>
  </si>
  <si>
    <t>Register Data Type</t>
  </si>
  <si>
    <t>DIRECTORATES</t>
  </si>
  <si>
    <t>MODES</t>
  </si>
  <si>
    <t>PAPER</t>
  </si>
  <si>
    <t>Yes</t>
  </si>
  <si>
    <t>Accounting Period</t>
  </si>
  <si>
    <t>Address Attributes</t>
  </si>
  <si>
    <t>ACS Delivery Flag</t>
  </si>
  <si>
    <t>['0'..'9']</t>
  </si>
  <si>
    <t>B</t>
  </si>
  <si>
    <t>CHARACTER</t>
  </si>
  <si>
    <t>- Choose Directorate From List -</t>
  </si>
  <si>
    <t>- Choose Mode(s) From List -</t>
  </si>
  <si>
    <t>Accounts Receivable</t>
  </si>
  <si>
    <t>Applicant</t>
  </si>
  <si>
    <t>Address Type</t>
  </si>
  <si>
    <t>['0','1']</t>
  </si>
  <si>
    <t>['-','0'..'9']</t>
  </si>
  <si>
    <t>I</t>
  </si>
  <si>
    <t>CATI</t>
  </si>
  <si>
    <t>Buildings</t>
  </si>
  <si>
    <t>Building</t>
  </si>
  <si>
    <t>Associated Post Office Box</t>
  </si>
  <si>
    <t>['A'..'Z']</t>
  </si>
  <si>
    <t>L</t>
  </si>
  <si>
    <t>NUMERIC</t>
  </si>
  <si>
    <t>CAPI</t>
  </si>
  <si>
    <t>Census Bureau</t>
  </si>
  <si>
    <t>BCU GEO ID</t>
  </si>
  <si>
    <t>['0'..'9','A'..'Z']</t>
  </si>
  <si>
    <t>N</t>
  </si>
  <si>
    <t>ALL Modes</t>
  </si>
  <si>
    <t>PAPER, INTERNET</t>
  </si>
  <si>
    <t>Equity</t>
  </si>
  <si>
    <t>Demographic Characteristics</t>
  </si>
  <si>
    <t>Complete for Mailout</t>
  </si>
  <si>
    <t>['0'..'9','.']</t>
  </si>
  <si>
    <t>['0'..'9','A'..'Z','&amp;','#','/','\','?','@','`','_','^','!','*','$','(',')','[',']','|','&lt;','&gt;',':',';','.',',']</t>
  </si>
  <si>
    <t>W</t>
  </si>
  <si>
    <t>EIN</t>
  </si>
  <si>
    <t>PAPER, CATI</t>
  </si>
  <si>
    <t>Equipment</t>
  </si>
  <si>
    <t>Economic Characteristics of Individuals</t>
  </si>
  <si>
    <t>Contact</t>
  </si>
  <si>
    <t>['0'..'9','A'..'Z','&amp;','#','-','/']</t>
  </si>
  <si>
    <t>PAPER, CAPI</t>
  </si>
  <si>
    <t>Justice</t>
  </si>
  <si>
    <t>Education</t>
  </si>
  <si>
    <t>Coordinate</t>
  </si>
  <si>
    <t>['0'..'9','_','A'..'Z']</t>
  </si>
  <si>
    <t>['0'..'9','A'..'Z','&amp;','#','-','?','/','@','.','\']</t>
  </si>
  <si>
    <t>INTERNET, CATI</t>
  </si>
  <si>
    <t>Liability</t>
  </si>
  <si>
    <t>Inventory</t>
  </si>
  <si>
    <t>Employment</t>
  </si>
  <si>
    <t>Danger Guidance</t>
  </si>
  <si>
    <t>['0'..'9','A'..'Z', '-']</t>
  </si>
  <si>
    <t>['0'..'9','A'..'Z', '-', '/', '\']</t>
  </si>
  <si>
    <t>PBA</t>
  </si>
  <si>
    <t>INTERNET, CAPI</t>
  </si>
  <si>
    <t>Land</t>
  </si>
  <si>
    <t>Enumeration Record</t>
  </si>
  <si>
    <t>Description</t>
  </si>
  <si>
    <t>['0'..'9','A'..'Z', '-', '/', '\', '&amp;']</t>
  </si>
  <si>
    <t>CATI, CAPI</t>
  </si>
  <si>
    <t>Person</t>
  </si>
  <si>
    <t>Property, Plant, and Equipment</t>
  </si>
  <si>
    <t>Families and Living Arrangements</t>
  </si>
  <si>
    <t>Known Match</t>
  </si>
  <si>
    <t>['0'..'9','A'..'Z','a'..'z']</t>
  </si>
  <si>
    <t>['0'..'9','A'..'Z', '&amp;', '#', '-', '/', '\', ',', '(', ')']</t>
  </si>
  <si>
    <t>PAPER, INTERNET, CATI</t>
  </si>
  <si>
    <t>Personal and Public Service</t>
  </si>
  <si>
    <t>Vehicles</t>
  </si>
  <si>
    <t>Field Operations</t>
  </si>
  <si>
    <t>Label Print Line</t>
  </si>
  <si>
    <t>['0'..'9','-',')','(']</t>
  </si>
  <si>
    <t>['-','0'..'9','Y','S', 'Q', 'M',  'B', 'W'] ['0'..'9','M', 'W','D']</t>
  </si>
  <si>
    <t>PAPER, INTERNET, CAPI</t>
  </si>
  <si>
    <t>Financial</t>
  </si>
  <si>
    <t>Legacy</t>
  </si>
  <si>
    <t>['0'..'9','A'..'Z','a'..'z', '-']</t>
  </si>
  <si>
    <t>['0'..'9','M', 'W','D']</t>
  </si>
  <si>
    <t>PAPER, CATI, CAPI</t>
  </si>
  <si>
    <t>Shipment</t>
  </si>
  <si>
    <t>Decision Locus</t>
  </si>
  <si>
    <t>Geographic Area</t>
  </si>
  <si>
    <t>MAF Unit</t>
  </si>
  <si>
    <t>['0'..'9','x','X','(',')',' ','-']</t>
  </si>
  <si>
    <t>['0'..'9','Y','S', 'Q', 'M',  'B', 'W']</t>
  </si>
  <si>
    <t>INTERNET, CATI, CAPI</t>
  </si>
  <si>
    <t>Structure and Property</t>
  </si>
  <si>
    <t>Geographic Characteristics of Individuals</t>
  </si>
  <si>
    <t>Post Office Box</t>
  </si>
  <si>
    <t>['0'..'9',':','A','M','P','a','m','p']</t>
  </si>
  <si>
    <t>['A'..'Z', ',']</t>
  </si>
  <si>
    <t>PAPER, INTERNET, CATI, CAPI</t>
  </si>
  <si>
    <t>TBD</t>
  </si>
  <si>
    <t>Establishments</t>
  </si>
  <si>
    <t>Geographic Route</t>
  </si>
  <si>
    <t>Postal Delivery</t>
  </si>
  <si>
    <t>['0'..'9','A'..'Z','a'..'z','&amp;','#','-','/','`','\',' ']</t>
  </si>
  <si>
    <t>['A'..'Z', '-',',','0'..'9']</t>
  </si>
  <si>
    <t>Workforce</t>
  </si>
  <si>
    <t>Geography</t>
  </si>
  <si>
    <t>Geographic Spatial Point</t>
  </si>
  <si>
    <t>Provider</t>
  </si>
  <si>
    <t>['A'..'Z','a'..'z','0'..'9','&amp;','#','-','/','\','.','@',' ']</t>
  </si>
  <si>
    <t>['A'..'Z', '-',',']</t>
  </si>
  <si>
    <t>FORMULAS:</t>
  </si>
  <si>
    <t>Identifier</t>
  </si>
  <si>
    <t>Group Quarter</t>
  </si>
  <si>
    <t>Puerto Rico</t>
  </si>
  <si>
    <t>['A'..'Z','a'..'z','0'..'9','&amp;','#','-','/','`','\','.','@',' ']</t>
  </si>
  <si>
    <t>['A'..'Z', '-','/''&amp;', '0'..'9']</t>
  </si>
  <si>
    <t>IF(OR(B3=$C$9,B3="ALL",$C$9="ALL Modes"), 1,"Hide")</t>
  </si>
  <si>
    <t>Health</t>
  </si>
  <si>
    <t>Purpose</t>
  </si>
  <si>
    <t>['0'..'9','A'..'Z','a'..'z','&amp;','#','-','?','/','@','.','\','`',' ']</t>
  </si>
  <si>
    <t>['A'..'Z','-','0'..'9', ',']</t>
  </si>
  <si>
    <t>Health Care Services</t>
  </si>
  <si>
    <t>Record Action</t>
  </si>
  <si>
    <t>['0'..'9','A'..'Z','a'..'z','&amp;','#','-','/',''','\',' ']</t>
  </si>
  <si>
    <t>['A'..'Z', '-']</t>
  </si>
  <si>
    <t>Organizational Change</t>
  </si>
  <si>
    <t>Household</t>
  </si>
  <si>
    <t>Rural Route</t>
  </si>
  <si>
    <t>['0'..'9','A'..'Z','a'..'z','&amp;','#','-','?','/','@','.','\',''',' ']</t>
  </si>
  <si>
    <t>['0'..'9','A'..'Z', '-', '/']</t>
  </si>
  <si>
    <t>Living Quarter</t>
  </si>
  <si>
    <t>Source</t>
  </si>
  <si>
    <t>['0'..'9','A'..'Z','a'..'z','&amp;','#','-','/','\','?','@',''','_','^','!','*','$','(',')','[',']','|','&lt;','&gt;',':',';','.',',',' ','%']</t>
  </si>
  <si>
    <t>['0'..'9','A'..'Z', '-', '/', '#', '&amp;']</t>
  </si>
  <si>
    <t>Location Address</t>
  </si>
  <si>
    <t>Status</t>
  </si>
  <si>
    <t>['0'..'9','A'..'Z','a'..'z','&amp;','#','-','/','\','?','@','`','_','^','!','*','$','(',')','[',']','|','&lt;','&gt;',':',';','.',',',' ','%']</t>
  </si>
  <si>
    <t>Mailing Address</t>
  </si>
  <si>
    <t>Street Number</t>
  </si>
  <si>
    <t>['0'..'9','A'..'Z','a'..'z','&amp;','#','/','\','?','@',''','_','^','!','*','$','(',')','[',']','|','&lt;','&gt;',':',';','.',',',' ']</t>
  </si>
  <si>
    <t>['0'..'9','A'..'Z','&amp;','#','-','?','/','@','.','\','`',' ']</t>
  </si>
  <si>
    <t>Name</t>
  </si>
  <si>
    <t>Street Or Building</t>
  </si>
  <si>
    <t>['0'..'9','A'..'Z','a'..'z','&amp;','#','/','\','?','@','`','_','^','!','*','$','(',')','[',']','|','&lt;','&gt;',':',';','.',',',' ','%']</t>
  </si>
  <si>
    <t>['0'..'9','A'..'Z','&amp;','#','-','/','`','\',' ']</t>
  </si>
  <si>
    <t>Time in Operation</t>
  </si>
  <si>
    <t>Physical Characteristics</t>
  </si>
  <si>
    <t>Tabulation</t>
  </si>
  <si>
    <t>['0'..'9','A'..'Z','a'..'z','&amp;','#','/','\','?','@','`','_','^','!','*','$','(',')','[',']','|','&lt;','&gt;',':',';','.',',',' ']</t>
  </si>
  <si>
    <t>['A'..'Z','0'..'9','&amp;','#','-','/','`','\','.','@',' ']</t>
  </si>
  <si>
    <t>Population</t>
  </si>
  <si>
    <t>Testing</t>
  </si>
  <si>
    <t>['0'..'9','A'..'Z','&amp;','#','/','\','?','@','`','_','^','!','*','$','(',')','[',']','|','&lt;','&gt;',':',';','.',',',' ','`']</t>
  </si>
  <si>
    <t>Reporting Unit</t>
  </si>
  <si>
    <t>Township</t>
  </si>
  <si>
    <t>['A'..'Z','a'..'z']</t>
  </si>
  <si>
    <t>['0'..'9','A'..'Z','&amp;','#','','/','\','?','@','`','_','^','!','*','$','(',')','[',']','|','&lt;','&gt;',':',';','.',',']</t>
  </si>
  <si>
    <t>Coverage</t>
  </si>
  <si>
    <t>Respondent</t>
  </si>
  <si>
    <t>Tribal Affiliation</t>
  </si>
  <si>
    <t>['A'..'Z','a'..'z','-',' ','~']</t>
  </si>
  <si>
    <t>['0'..'9','A'..'Z','&amp;','#','-','/','\','?','@','`','_','^','!','*','$','(',')','[',']','|','&lt;','&gt;',':',';','.',',',' ','%']</t>
  </si>
  <si>
    <t>Response Set</t>
  </si>
  <si>
    <t>Unit</t>
  </si>
  <si>
    <t>['A'..'Z','a'..'z','-']</t>
  </si>
  <si>
    <t>['0'..'9','A'..'Z','a'..'z','&amp;','#','/','\','?','@','`','_','^','!','*','$','(',')','[',']','|','&lt;','&gt;',':',';','.',',']</t>
  </si>
  <si>
    <t>Industry Specific</t>
  </si>
  <si>
    <t>Session</t>
  </si>
  <si>
    <t>Update</t>
  </si>
  <si>
    <t>Method of Accounting</t>
  </si>
  <si>
    <t>Social Characteristics of Persons</t>
  </si>
  <si>
    <t>Valid Address</t>
  </si>
  <si>
    <t>['0'..'9','A'..'Z','a'..'z', '-',' ']</t>
  </si>
  <si>
    <t>Method of Selling</t>
  </si>
  <si>
    <t>Within Sample</t>
  </si>
  <si>
    <t>['A'..'Z','_']</t>
  </si>
  <si>
    <t>Support Services</t>
  </si>
  <si>
    <t>Written Form</t>
  </si>
  <si>
    <t>['0'..'9','A'..'Z',' ']</t>
  </si>
  <si>
    <t>Tribe</t>
  </si>
  <si>
    <t>Person of Interest</t>
  </si>
  <si>
    <t>['A'..'Z','a'..'z','\']</t>
  </si>
  <si>
    <t>Burden</t>
  </si>
  <si>
    <t>Vacancy</t>
  </si>
  <si>
    <t>Pre-Employment Training</t>
  </si>
  <si>
    <t>['A'..'Z','/']</t>
  </si>
  <si>
    <t>Certification Date</t>
  </si>
  <si>
    <t>Veterans</t>
  </si>
  <si>
    <t>Online Access</t>
  </si>
  <si>
    <t>['0'..'9','.','-']</t>
  </si>
  <si>
    <t>Workload</t>
  </si>
  <si>
    <t>Department</t>
  </si>
  <si>
    <t>Facility</t>
  </si>
  <si>
    <t>Time period covered</t>
  </si>
  <si>
    <t>Retained Earnings</t>
  </si>
  <si>
    <t>Age</t>
  </si>
  <si>
    <t>Stockholders' Equity</t>
  </si>
  <si>
    <t>Ancestry</t>
  </si>
  <si>
    <t>Benefits</t>
  </si>
  <si>
    <t>Birth</t>
  </si>
  <si>
    <t>Construction</t>
  </si>
  <si>
    <t>Death</t>
  </si>
  <si>
    <t>Deduction</t>
  </si>
  <si>
    <t>Ethnicity</t>
  </si>
  <si>
    <t>Hispanic Latino Or Spanish Origin</t>
  </si>
  <si>
    <t>Native and Foreign Born</t>
  </si>
  <si>
    <t>Interest</t>
  </si>
  <si>
    <t>Race</t>
  </si>
  <si>
    <t>Maintenance and Repairs</t>
  </si>
  <si>
    <t>Sex</t>
  </si>
  <si>
    <t>Merchandise Purchased for Resale</t>
  </si>
  <si>
    <t>Veterans &amp; Military Status</t>
  </si>
  <si>
    <t>Income</t>
  </si>
  <si>
    <t>Wealth and Asset Ownership</t>
  </si>
  <si>
    <t>Purchased Transportation</t>
  </si>
  <si>
    <t>Educational Attainment</t>
  </si>
  <si>
    <t>Rental Payments</t>
  </si>
  <si>
    <t>School Enrollment</t>
  </si>
  <si>
    <t>Utilities</t>
  </si>
  <si>
    <t>Employment and Labor Force Status</t>
  </si>
  <si>
    <t>Capital Punishment</t>
  </si>
  <si>
    <t>Case Status</t>
  </si>
  <si>
    <t>Correctional Residents</t>
  </si>
  <si>
    <t>Collection Complete</t>
  </si>
  <si>
    <t>Inmates</t>
  </si>
  <si>
    <t>Contact Attempts</t>
  </si>
  <si>
    <t>Sexual Victimization</t>
  </si>
  <si>
    <t>Control Number</t>
  </si>
  <si>
    <t>Debt Obligations</t>
  </si>
  <si>
    <t>Created For Imputation Reason</t>
  </si>
  <si>
    <t>Emergency production</t>
  </si>
  <si>
    <t>Dataset</t>
  </si>
  <si>
    <t>Production Capability</t>
  </si>
  <si>
    <t>Duplicate</t>
  </si>
  <si>
    <t>Email</t>
  </si>
  <si>
    <t>Work pattern</t>
  </si>
  <si>
    <t>Housing Unit Info</t>
  </si>
  <si>
    <t>Earnings</t>
  </si>
  <si>
    <t>Interview</t>
  </si>
  <si>
    <t>Interviewer ID</t>
  </si>
  <si>
    <t>NRFU</t>
  </si>
  <si>
    <t>Educational</t>
  </si>
  <si>
    <t>No Survey Data Collected</t>
  </si>
  <si>
    <t>NonInterview</t>
  </si>
  <si>
    <t>Service Accessibility</t>
  </si>
  <si>
    <t>Operational</t>
  </si>
  <si>
    <t>Collected Taxes</t>
  </si>
  <si>
    <t>Outcome Code</t>
  </si>
  <si>
    <t>Contract</t>
  </si>
  <si>
    <t>Past Respondent</t>
  </si>
  <si>
    <t>Period</t>
  </si>
  <si>
    <t>Electronic Sources</t>
  </si>
  <si>
    <t>Exported</t>
  </si>
  <si>
    <t>Proxy Flag</t>
  </si>
  <si>
    <t>Investment</t>
  </si>
  <si>
    <t>Relationship</t>
  </si>
  <si>
    <t>Leases</t>
  </si>
  <si>
    <t>Replacement Household</t>
  </si>
  <si>
    <t>Loan</t>
  </si>
  <si>
    <t>Response</t>
  </si>
  <si>
    <t>Rent</t>
  </si>
  <si>
    <t>Roster</t>
  </si>
  <si>
    <t>Shipping and Handling</t>
  </si>
  <si>
    <t>SSF Team</t>
  </si>
  <si>
    <t>Delivery Details</t>
  </si>
  <si>
    <t>Sample Design Information</t>
  </si>
  <si>
    <t>Destination</t>
  </si>
  <si>
    <t>Item Details</t>
  </si>
  <si>
    <t>Social Security Number</t>
  </si>
  <si>
    <t>Origin</t>
  </si>
  <si>
    <t>Span</t>
  </si>
  <si>
    <t>Quantity</t>
  </si>
  <si>
    <t>Sub-Team</t>
  </si>
  <si>
    <t>Value</t>
  </si>
  <si>
    <t>Time Spent</t>
  </si>
  <si>
    <t>Building Permit</t>
  </si>
  <si>
    <t>Transitory</t>
  </si>
  <si>
    <t>Project Details</t>
  </si>
  <si>
    <t>Type</t>
  </si>
  <si>
    <t>Project Type</t>
  </si>
  <si>
    <t>Type Observation</t>
  </si>
  <si>
    <t>Structure Details</t>
  </si>
  <si>
    <t>Wave</t>
  </si>
  <si>
    <t>Subsidies and Benefits</t>
  </si>
  <si>
    <t>Families and Household Characteristics</t>
  </si>
  <si>
    <t>Family Income</t>
  </si>
  <si>
    <t>Certification</t>
  </si>
  <si>
    <t>Wages</t>
  </si>
  <si>
    <t>Group Quarters</t>
  </si>
  <si>
    <t>OCS Name</t>
  </si>
  <si>
    <t>Condominium</t>
  </si>
  <si>
    <t>Housing Value and Purchase Price</t>
  </si>
  <si>
    <t>Mortgage</t>
  </si>
  <si>
    <t>Renter Costs</t>
  </si>
  <si>
    <t>Area Attributes</t>
  </si>
  <si>
    <t>Boundary</t>
  </si>
  <si>
    <t>Entity Name</t>
  </si>
  <si>
    <t>Face Object ID</t>
  </si>
  <si>
    <t>Feature Class</t>
  </si>
  <si>
    <t>Functional Status</t>
  </si>
  <si>
    <t>Location</t>
  </si>
  <si>
    <t>Real Estate</t>
  </si>
  <si>
    <t>Citizenship</t>
  </si>
  <si>
    <t>Language</t>
  </si>
  <si>
    <t>Location Association</t>
  </si>
  <si>
    <t>Migration</t>
  </si>
  <si>
    <t>Nativity</t>
  </si>
  <si>
    <t>Place of Residence</t>
  </si>
  <si>
    <t>Residential Mobility</t>
  </si>
  <si>
    <t>Geospatial Edge</t>
  </si>
  <si>
    <t>Road Connectivity</t>
  </si>
  <si>
    <t>Street</t>
  </si>
  <si>
    <t>TIGER Line ID</t>
  </si>
  <si>
    <t>Zip Code</t>
  </si>
  <si>
    <t>Central Point Indicator</t>
  </si>
  <si>
    <t>Collection</t>
  </si>
  <si>
    <t>Geo Coordinate</t>
  </si>
  <si>
    <t>Geocoding</t>
  </si>
  <si>
    <t>Place</t>
  </si>
  <si>
    <t>Special Place</t>
  </si>
  <si>
    <t>Address</t>
  </si>
  <si>
    <t>Address Canvas</t>
  </si>
  <si>
    <t>Administrative Census Office</t>
  </si>
  <si>
    <t>Advance Contact</t>
  </si>
  <si>
    <t>Availability</t>
  </si>
  <si>
    <t>Category</t>
  </si>
  <si>
    <t>Enumeration</t>
  </si>
  <si>
    <t>GQ Group</t>
  </si>
  <si>
    <t>GQ Identification</t>
  </si>
  <si>
    <t>Living Accommodations</t>
  </si>
  <si>
    <t>Meal</t>
  </si>
  <si>
    <t>Meal Accommodations</t>
  </si>
  <si>
    <t>No Complete</t>
  </si>
  <si>
    <t>Notes</t>
  </si>
  <si>
    <t>Primary Point Of Contact</t>
  </si>
  <si>
    <t>Production Enumerator</t>
  </si>
  <si>
    <t>Record</t>
  </si>
  <si>
    <t>Refusal</t>
  </si>
  <si>
    <t>Reinterview</t>
  </si>
  <si>
    <t>Resident Population</t>
  </si>
  <si>
    <t>Rework</t>
  </si>
  <si>
    <t>Secondary Point Of Contact</t>
  </si>
  <si>
    <t>Visit</t>
  </si>
  <si>
    <t>Accessibility</t>
  </si>
  <si>
    <t>Care and Visits</t>
  </si>
  <si>
    <t>Disability</t>
  </si>
  <si>
    <t>Expenses</t>
  </si>
  <si>
    <t>Health Insurance Coverage</t>
  </si>
  <si>
    <t>International HIV/AIDS</t>
  </si>
  <si>
    <t>Type of Health Insurance</t>
  </si>
  <si>
    <t>Office operations</t>
  </si>
  <si>
    <t>Patient Care Services Offered</t>
  </si>
  <si>
    <t>Provider Information</t>
  </si>
  <si>
    <t>Art</t>
  </si>
  <si>
    <t>Child</t>
  </si>
  <si>
    <t>Children</t>
  </si>
  <si>
    <t>Couple</t>
  </si>
  <si>
    <t>Delinquency</t>
  </si>
  <si>
    <t>Demographics</t>
  </si>
  <si>
    <t>Disaster Planning</t>
  </si>
  <si>
    <t>Doubling Up</t>
  </si>
  <si>
    <t>Fertility</t>
  </si>
  <si>
    <t>Finances</t>
  </si>
  <si>
    <t>Financial Characteristics</t>
  </si>
  <si>
    <t>Food Security</t>
  </si>
  <si>
    <t>Healthy Homes</t>
  </si>
  <si>
    <t>Householder</t>
  </si>
  <si>
    <t>Housing Counseling</t>
  </si>
  <si>
    <t>Marital History</t>
  </si>
  <si>
    <t>Marital Status</t>
  </si>
  <si>
    <t>Members</t>
  </si>
  <si>
    <t>Neighborhood Features</t>
  </si>
  <si>
    <t>New Orleans Variables</t>
  </si>
  <si>
    <t>Number of Vehicles</t>
  </si>
  <si>
    <t>Owner/Renter Characteristics</t>
  </si>
  <si>
    <t>Public Transportation</t>
  </si>
  <si>
    <t>Recent Movers</t>
  </si>
  <si>
    <t>Relationships</t>
  </si>
  <si>
    <t>Residence</t>
  </si>
  <si>
    <t>Same Sex Couples</t>
  </si>
  <si>
    <t>Second Home</t>
  </si>
  <si>
    <t>Military</t>
  </si>
  <si>
    <t>Port</t>
  </si>
  <si>
    <t>Residential Structure</t>
  </si>
  <si>
    <t>Transitory Location</t>
  </si>
  <si>
    <t>Vessel</t>
  </si>
  <si>
    <t>Apartment Complex</t>
  </si>
  <si>
    <t>Area Name</t>
  </si>
  <si>
    <t>House Number</t>
  </si>
  <si>
    <t>Is Building Address</t>
  </si>
  <si>
    <t>Is DSF Loc</t>
  </si>
  <si>
    <t>Object ID</t>
  </si>
  <si>
    <t>Streetname</t>
  </si>
  <si>
    <t>Within Structure</t>
  </si>
  <si>
    <t>PO Box ID</t>
  </si>
  <si>
    <t>First</t>
  </si>
  <si>
    <t>Full</t>
  </si>
  <si>
    <t>Given</t>
  </si>
  <si>
    <t>Initials</t>
  </si>
  <si>
    <t>Last</t>
  </si>
  <si>
    <t>Middle</t>
  </si>
  <si>
    <t>Prefix</t>
  </si>
  <si>
    <t>Suffix</t>
  </si>
  <si>
    <t>Sur</t>
  </si>
  <si>
    <t>Commercial Usage</t>
  </si>
  <si>
    <t>Different Household</t>
  </si>
  <si>
    <t>Electricity</t>
  </si>
  <si>
    <t>Facilities</t>
  </si>
  <si>
    <t>Gas</t>
  </si>
  <si>
    <t>Heating and Air Conditioning (HVAC)</t>
  </si>
  <si>
    <t>Land Use</t>
  </si>
  <si>
    <t>Located in Permit Area</t>
  </si>
  <si>
    <t>Lot Size</t>
  </si>
  <si>
    <t>Market Status</t>
  </si>
  <si>
    <t>Seasonal Occupancy</t>
  </si>
  <si>
    <t>Summers/Winters/Other</t>
  </si>
  <si>
    <t>Types of Rooms</t>
  </si>
  <si>
    <t>Units in Structure</t>
  </si>
  <si>
    <t>Year Structure Built</t>
  </si>
  <si>
    <t>Births and Deaths</t>
  </si>
  <si>
    <t>Counts, Estimates and Projections</t>
  </si>
  <si>
    <t>International and Domestic Migration</t>
  </si>
  <si>
    <t>Population Change and Components</t>
  </si>
  <si>
    <t>Poverty</t>
  </si>
  <si>
    <t>Contact Information</t>
  </si>
  <si>
    <t>ID</t>
  </si>
  <si>
    <t>MAF ID</t>
  </si>
  <si>
    <t>Confirmation</t>
  </si>
  <si>
    <t>Eligibility</t>
  </si>
  <si>
    <t>Email Address</t>
  </si>
  <si>
    <t>Login</t>
  </si>
  <si>
    <t>Phone Number</t>
  </si>
  <si>
    <t>Proxy</t>
  </si>
  <si>
    <t>Context</t>
  </si>
  <si>
    <t>Instrument</t>
  </si>
  <si>
    <t>Lifecycle</t>
  </si>
  <si>
    <t>Processing</t>
  </si>
  <si>
    <t>Association</t>
  </si>
  <si>
    <t>Number of Times Married</t>
  </si>
  <si>
    <t>Reference Person Relationship</t>
  </si>
  <si>
    <t>Tribal Enrollment</t>
  </si>
  <si>
    <t>Tribal Shareholder</t>
  </si>
  <si>
    <t>Corporation</t>
  </si>
  <si>
    <t>Vacancy Characteristics</t>
  </si>
  <si>
    <t>Military Dependents</t>
  </si>
  <si>
    <t>Military Service</t>
  </si>
  <si>
    <t>Period of Military Service</t>
  </si>
  <si>
    <t>Service-Connected Disability</t>
  </si>
  <si>
    <t>Veteran Status</t>
  </si>
  <si>
    <t>Workload ID</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</si>
</sst>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46">
    <font>
      <sz val="11"/>
      <color theme="1"/>
      <name val="Calibri"/>
      <family val="2"/>
      <scheme val="minor"/>
    </font>
    <font>
      <sz val="11"/>
      <color rgb="FF006100"/>
      <name val="Calibri"/>
      <family val="2"/>
      <scheme val="minor"/>
    </font>
    <font>
      <b/>
      <sz val="11"/>
      <color theme="1"/>
      <name val="Calibri"/>
      <family val="2"/>
      <scheme val="minor"/>
    </font>
    <font>
      <b/>
      <i/>
      <sz val="11"/>
      <color theme="1"/>
      <name val="Calibri"/>
      <family val="2"/>
      <scheme val="minor"/>
    </font>
    <font>
      <b/>
      <u/>
      <sz val="11"/>
      <color theme="1"/>
      <name val="Calibri"/>
      <family val="2"/>
      <scheme val="minor"/>
    </font>
    <font>
      <sz val="9"/>
      <color theme="1"/>
      <name val="Calibri"/>
      <family val="2"/>
      <scheme val="minor"/>
    </font>
    <font>
      <i/>
      <sz val="9"/>
      <color theme="1"/>
      <name val="Calibri"/>
      <family val="2"/>
      <scheme val="minor"/>
    </font>
    <font>
      <sz val="9"/>
      <color rgb="FF000000"/>
      <name val="Calibri"/>
      <family val="2"/>
    </font>
    <font>
      <i/>
      <sz val="9"/>
      <color rgb="FF000000"/>
      <name val="Calibri"/>
      <family val="2"/>
    </font>
    <font>
      <b/>
      <u/>
      <sz val="11"/>
      <name val="Calibri"/>
      <family val="2"/>
      <scheme val="minor"/>
    </font>
    <font>
      <b/>
      <u/>
      <sz val="11"/>
      <color rgb="FFFFFFFF"/>
      <name val="Calibri"/>
      <family val="2"/>
      <scheme val="minor"/>
    </font>
    <font>
      <sz val="11"/>
      <color indexed="8"/>
      <name val="Calibri"/>
      <family val="2"/>
    </font>
    <font>
      <sz val="12"/>
      <color rgb="FFFF0000"/>
      <name val="Calibri"/>
      <family val="2"/>
      <scheme val="minor"/>
    </font>
    <font>
      <sz val="12"/>
      <color rgb="FF032BE3"/>
      <name val="Calibri"/>
      <family val="2"/>
      <scheme val="minor"/>
    </font>
    <font>
      <sz val="10"/>
      <color rgb="FF000000"/>
      <name val="Tahoma"/>
      <family val="2"/>
    </font>
    <font>
      <sz val="11"/>
      <color rgb="FF032BE3"/>
      <name val="Calibri"/>
      <family val="2"/>
      <scheme val="minor"/>
    </font>
    <font>
      <sz val="11"/>
      <color rgb="FFFF0000"/>
      <name val="Calibri"/>
      <family val="2"/>
      <scheme val="minor"/>
    </font>
    <font>
      <b/>
      <sz val="16"/>
      <color theme="1"/>
      <name val="Calibri"/>
      <family val="2"/>
      <scheme val="minor"/>
    </font>
    <font>
      <b/>
      <sz val="18"/>
      <color theme="1"/>
      <name val="Calibri"/>
      <family val="2"/>
      <scheme val="minor"/>
    </font>
    <font>
      <sz val="16"/>
      <color theme="1"/>
      <name val="Calibri"/>
      <family val="2"/>
      <scheme val="minor"/>
    </font>
    <font>
      <b/>
      <sz val="10"/>
      <color rgb="FF000000"/>
      <name val="Tahoma"/>
      <family val="2"/>
    </font>
    <font>
      <sz val="14"/>
      <color rgb="FF032BE3"/>
      <name val="Calibri"/>
      <family val="2"/>
      <scheme val="minor"/>
    </font>
    <font>
      <sz val="9"/>
      <color rgb="FFFF0000"/>
      <name val="Calibri (Body)"/>
    </font>
    <font>
      <sz val="9"/>
      <color rgb="FF032BE3"/>
      <name val="Calibri (Body)"/>
    </font>
    <font>
      <i/>
      <sz val="11"/>
      <color theme="1"/>
      <name val="Calibri"/>
      <family val="2"/>
      <scheme val="minor"/>
    </font>
    <font>
      <sz val="11"/>
      <name val="Calibri"/>
      <family val="2"/>
      <scheme val="minor"/>
    </font>
    <font>
      <sz val="12"/>
      <color theme="1"/>
      <name val="Calibri"/>
      <family val="2"/>
      <scheme val="minor"/>
    </font>
    <font>
      <b/>
      <sz val="14"/>
      <color theme="1"/>
      <name val="Calibri (Body)"/>
    </font>
    <font>
      <sz val="14"/>
      <color theme="1"/>
      <name val="Calibri (Body)"/>
    </font>
    <font>
      <sz val="11"/>
      <color rgb="FF000000"/>
      <name val="Calibri"/>
      <family val="2"/>
      <scheme val="minor"/>
    </font>
    <font>
      <sz val="11"/>
      <color rgb="FFFF0000"/>
      <name val="Calibri"/>
      <scheme val="minor"/>
    </font>
    <font>
      <sz val="11"/>
      <color rgb="FF000000"/>
      <name val="Calibri"/>
      <scheme val="minor"/>
    </font>
    <font>
      <sz val="10"/>
      <color rgb="FF000000"/>
      <name val="Calibri"/>
      <family val="2"/>
      <scheme val="minor"/>
    </font>
    <font>
      <sz val="11"/>
      <color rgb="FF000000"/>
      <name val="Calibri"/>
      <family val="2"/>
      <charset val="1"/>
      <scheme val="minor"/>
    </font>
    <font>
      <sz val="11"/>
      <color rgb="FF7030A0"/>
      <name val="Calibri"/>
      <scheme val="minor"/>
    </font>
    <font>
      <sz val="12"/>
      <color rgb="FF000000"/>
      <name val="Calibri"/>
      <family val="2"/>
      <charset val="1"/>
      <scheme val="minor"/>
    </font>
    <font>
      <sz val="8"/>
      <name val="Calibri"/>
      <family val="2"/>
      <scheme val="minor"/>
    </font>
    <font>
      <sz val="11"/>
      <name val="Calibri"/>
      <family val="2"/>
      <charset val="1"/>
      <scheme val="minor"/>
    </font>
    <font>
      <sz val="10"/>
      <name val="Calibri"/>
      <family val="2"/>
      <scheme val="minor"/>
    </font>
    <font>
      <sz val="11"/>
      <name val="Calibri"/>
      <family val="2"/>
    </font>
    <font>
      <sz val="11"/>
      <color rgb="FF000000"/>
      <name val="Calibri"/>
      <charset val="1"/>
      <scheme val="minor"/>
    </font>
    <font>
      <sz val="12"/>
      <name val="Calibri"/>
      <family val="2"/>
      <scheme val="minor"/>
    </font>
    <font>
      <sz val="11"/>
      <color rgb="FF444444"/>
      <name val="Calibri"/>
      <family val="2"/>
      <scheme val="minor"/>
    </font>
    <font>
      <sz val="12"/>
      <name val="Calibri"/>
      <family val="2"/>
    </font>
    <font>
      <b/>
      <sz val="12"/>
      <color rgb="FF7030A0"/>
      <name val="Calibri"/>
      <family val="2"/>
      <scheme val="minor"/>
    </font>
    <font>
      <sz val="11"/>
      <color rgb="FFFF0000"/>
      <name val="Calibri"/>
      <family val="2"/>
      <charset val="1"/>
      <scheme val="minor"/>
    </font>
  </fonts>
  <fills count="12">
    <fill>
      <patternFill patternType="none"/>
    </fill>
    <fill>
      <patternFill patternType="gray125"/>
    </fill>
    <fill>
      <patternFill patternType="solid">
        <fgColor rgb="FFC6EFCE"/>
      </patternFill>
    </fill>
    <fill>
      <patternFill patternType="solid">
        <fgColor theme="0" tint="-0.14999847407452621"/>
        <bgColor indexed="64"/>
      </patternFill>
    </fill>
    <fill>
      <patternFill patternType="solid">
        <fgColor theme="2" tint="-0.249977111117893"/>
        <bgColor indexed="64"/>
      </patternFill>
    </fill>
    <fill>
      <patternFill patternType="solid">
        <fgColor theme="0" tint="-0.34998626667073579"/>
        <bgColor indexed="64"/>
      </patternFill>
    </fill>
    <fill>
      <patternFill patternType="solid">
        <fgColor theme="4" tint="0.59999389629810485"/>
        <bgColor indexed="64"/>
      </patternFill>
    </fill>
    <fill>
      <patternFill patternType="solid">
        <fgColor theme="4" tint="0.39997558519241921"/>
        <bgColor indexed="64"/>
      </patternFill>
    </fill>
    <fill>
      <patternFill patternType="solid">
        <fgColor theme="8" tint="0.79998168889431442"/>
        <bgColor indexed="64"/>
      </patternFill>
    </fill>
    <fill>
      <patternFill patternType="solid">
        <fgColor theme="7" tint="0.79998168889431442"/>
        <bgColor indexed="64"/>
      </patternFill>
    </fill>
    <fill>
      <patternFill patternType="solid">
        <fgColor theme="6"/>
        <bgColor indexed="64"/>
      </patternFill>
    </fill>
    <fill>
      <patternFill patternType="solid">
        <fgColor theme="5" tint="0.79998168889431442"/>
        <bgColor indexed="64"/>
      </patternFill>
    </fill>
  </fills>
  <borders count="35">
    <border>
      <left/>
      <right/>
      <top/>
      <bottom/>
      <diagonal/>
    </border>
    <border>
      <left style="thin">
        <color auto="1"/>
      </left>
      <right style="thin">
        <color auto="1"/>
      </right>
      <top style="thin">
        <color auto="1"/>
      </top>
      <bottom style="thin">
        <color auto="1"/>
      </bottom>
      <diagonal/>
    </border>
    <border>
      <left style="thin">
        <color auto="1"/>
      </left>
      <right/>
      <top style="thin">
        <color auto="1"/>
      </top>
      <bottom/>
      <diagonal/>
    </border>
    <border>
      <left/>
      <right style="thin">
        <color auto="1"/>
      </right>
      <top style="thin">
        <color auto="1"/>
      </top>
      <bottom/>
      <diagonal/>
    </border>
    <border>
      <left style="thin">
        <color auto="1"/>
      </left>
      <right/>
      <top/>
      <bottom/>
      <diagonal/>
    </border>
    <border>
      <left/>
      <right style="thin">
        <color auto="1"/>
      </right>
      <top/>
      <bottom/>
      <diagonal/>
    </border>
    <border>
      <left style="thin">
        <color auto="1"/>
      </left>
      <right/>
      <top style="thin">
        <color auto="1"/>
      </top>
      <bottom style="thin">
        <color auto="1"/>
      </bottom>
      <diagonal/>
    </border>
    <border>
      <left/>
      <right/>
      <top style="thin">
        <color auto="1"/>
      </top>
      <bottom style="thin">
        <color auto="1"/>
      </bottom>
      <diagonal/>
    </border>
    <border>
      <left/>
      <right style="thin">
        <color auto="1"/>
      </right>
      <top style="thin">
        <color auto="1"/>
      </top>
      <bottom style="thin">
        <color auto="1"/>
      </bottom>
      <diagonal/>
    </border>
    <border>
      <left style="thin">
        <color auto="1"/>
      </left>
      <right/>
      <top/>
      <bottom style="thin">
        <color auto="1"/>
      </bottom>
      <diagonal/>
    </border>
    <border>
      <left/>
      <right style="thin">
        <color auto="1"/>
      </right>
      <top/>
      <bottom style="thin">
        <color auto="1"/>
      </bottom>
      <diagonal/>
    </border>
    <border>
      <left/>
      <right/>
      <top/>
      <bottom style="thin">
        <color auto="1"/>
      </bottom>
      <diagonal/>
    </border>
    <border>
      <left style="thin">
        <color auto="1"/>
      </left>
      <right style="thin">
        <color auto="1"/>
      </right>
      <top style="thin">
        <color auto="1"/>
      </top>
      <bottom/>
      <diagonal/>
    </border>
    <border>
      <left style="thin">
        <color auto="1"/>
      </left>
      <right style="thin">
        <color auto="1"/>
      </right>
      <top/>
      <bottom style="thin">
        <color auto="1"/>
      </bottom>
      <diagonal/>
    </border>
    <border>
      <left style="thin">
        <color rgb="FF000000"/>
      </left>
      <right style="thin">
        <color rgb="FF000000"/>
      </right>
      <top style="thin">
        <color rgb="FF000000"/>
      </top>
      <bottom style="thin">
        <color rgb="FF000000"/>
      </bottom>
      <diagonal/>
    </border>
    <border>
      <left style="medium">
        <color indexed="64"/>
      </left>
      <right/>
      <top style="medium">
        <color indexed="64"/>
      </top>
      <bottom/>
      <diagonal/>
    </border>
    <border>
      <left/>
      <right style="medium">
        <color indexed="64"/>
      </right>
      <top style="medium">
        <color indexed="64"/>
      </top>
      <bottom/>
      <diagonal/>
    </border>
    <border>
      <left style="medium">
        <color indexed="64"/>
      </left>
      <right/>
      <top/>
      <bottom style="medium">
        <color indexed="64"/>
      </bottom>
      <diagonal/>
    </border>
    <border>
      <left/>
      <right style="medium">
        <color indexed="64"/>
      </right>
      <top/>
      <bottom style="medium">
        <color indexed="64"/>
      </bottom>
      <diagonal/>
    </border>
    <border>
      <left style="medium">
        <color indexed="64"/>
      </left>
      <right style="medium">
        <color indexed="64"/>
      </right>
      <top style="medium">
        <color indexed="64"/>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thin">
        <color auto="1"/>
      </right>
      <top/>
      <bottom style="thin">
        <color auto="1"/>
      </bottom>
      <diagonal/>
    </border>
    <border>
      <left style="thin">
        <color auto="1"/>
      </left>
      <right style="medium">
        <color indexed="64"/>
      </right>
      <top/>
      <bottom style="thin">
        <color auto="1"/>
      </bottom>
      <diagonal/>
    </border>
    <border>
      <left style="medium">
        <color indexed="64"/>
      </left>
      <right style="thin">
        <color auto="1"/>
      </right>
      <top style="thin">
        <color auto="1"/>
      </top>
      <bottom style="thin">
        <color auto="1"/>
      </bottom>
      <diagonal/>
    </border>
    <border>
      <left style="thin">
        <color auto="1"/>
      </left>
      <right style="medium">
        <color indexed="64"/>
      </right>
      <top style="thin">
        <color auto="1"/>
      </top>
      <bottom style="thin">
        <color auto="1"/>
      </bottom>
      <diagonal/>
    </border>
    <border>
      <left style="medium">
        <color indexed="64"/>
      </left>
      <right/>
      <top style="thin">
        <color auto="1"/>
      </top>
      <bottom style="thin">
        <color auto="1"/>
      </bottom>
      <diagonal/>
    </border>
    <border>
      <left/>
      <right style="medium">
        <color indexed="64"/>
      </right>
      <top style="thin">
        <color auto="1"/>
      </top>
      <bottom style="thin">
        <color auto="1"/>
      </bottom>
      <diagonal/>
    </border>
    <border>
      <left style="medium">
        <color indexed="64"/>
      </left>
      <right style="thin">
        <color auto="1"/>
      </right>
      <top style="thin">
        <color auto="1"/>
      </top>
      <bottom style="medium">
        <color indexed="64"/>
      </bottom>
      <diagonal/>
    </border>
    <border>
      <left style="thin">
        <color auto="1"/>
      </left>
      <right style="thin">
        <color auto="1"/>
      </right>
      <top style="thin">
        <color auto="1"/>
      </top>
      <bottom style="medium">
        <color indexed="64"/>
      </bottom>
      <diagonal/>
    </border>
    <border>
      <left style="thin">
        <color auto="1"/>
      </left>
      <right style="medium">
        <color indexed="64"/>
      </right>
      <top style="thin">
        <color auto="1"/>
      </top>
      <bottom style="medium">
        <color indexed="64"/>
      </bottom>
      <diagonal/>
    </border>
    <border>
      <left style="thin">
        <color indexed="64"/>
      </left>
      <right style="thin">
        <color indexed="64"/>
      </right>
      <top/>
      <bottom/>
      <diagonal/>
    </border>
    <border>
      <left/>
      <right style="thin">
        <color indexed="64"/>
      </right>
      <top/>
      <bottom style="thin">
        <color rgb="FF000000"/>
      </bottom>
      <diagonal/>
    </border>
    <border>
      <left/>
      <right/>
      <top style="thin">
        <color auto="1"/>
      </top>
      <bottom/>
      <diagonal/>
    </border>
  </borders>
  <cellStyleXfs count="2">
    <xf numFmtId="0" fontId="0" fillId="0" borderId="0"/>
    <xf numFmtId="0" fontId="1" fillId="2" borderId="0" applyNumberFormat="0" applyBorder="0" applyAlignment="0" applyProtection="0"/>
  </cellStyleXfs>
  <cellXfs count="164">
    <xf numFmtId="0" fontId="0" fillId="0" borderId="0" xfId="0"/>
    <xf numFmtId="0" fontId="3" fillId="0" borderId="0" xfId="0" applyFont="1"/>
    <xf numFmtId="0" fontId="3" fillId="3" borderId="2" xfId="0" applyFont="1" applyFill="1" applyBorder="1" applyAlignment="1">
      <alignment horizontal="center"/>
    </xf>
    <xf numFmtId="0" fontId="3" fillId="3" borderId="9" xfId="0" applyFont="1" applyFill="1" applyBorder="1" applyAlignment="1">
      <alignment horizontal="center"/>
    </xf>
    <xf numFmtId="0" fontId="4" fillId="3" borderId="0" xfId="0" applyFont="1" applyFill="1"/>
    <xf numFmtId="0" fontId="4" fillId="3" borderId="1" xfId="0" applyFont="1" applyFill="1" applyBorder="1"/>
    <xf numFmtId="0" fontId="4" fillId="3" borderId="1" xfId="0" applyFont="1" applyFill="1" applyBorder="1" applyAlignment="1">
      <alignment wrapText="1"/>
    </xf>
    <xf numFmtId="0" fontId="4" fillId="5" borderId="1" xfId="0" applyFont="1" applyFill="1" applyBorder="1"/>
    <xf numFmtId="0" fontId="5" fillId="3" borderId="1" xfId="0" applyFont="1" applyFill="1" applyBorder="1" applyAlignment="1">
      <alignment vertical="top" wrapText="1"/>
    </xf>
    <xf numFmtId="0" fontId="5" fillId="6" borderId="1" xfId="0" applyFont="1" applyFill="1" applyBorder="1" applyAlignment="1">
      <alignment vertical="top" wrapText="1"/>
    </xf>
    <xf numFmtId="0" fontId="6" fillId="6" borderId="1" xfId="0" applyFont="1" applyFill="1" applyBorder="1" applyAlignment="1">
      <alignment vertical="top" wrapText="1"/>
    </xf>
    <xf numFmtId="0" fontId="7" fillId="6" borderId="1" xfId="0" applyFont="1" applyFill="1" applyBorder="1" applyAlignment="1">
      <alignment vertical="top" wrapText="1"/>
    </xf>
    <xf numFmtId="0" fontId="6" fillId="7" borderId="1" xfId="0" applyFont="1" applyFill="1" applyBorder="1" applyAlignment="1">
      <alignment vertical="top" wrapText="1"/>
    </xf>
    <xf numFmtId="0" fontId="0" fillId="0" borderId="0" xfId="0" applyAlignment="1">
      <alignment wrapText="1"/>
    </xf>
    <xf numFmtId="0" fontId="4" fillId="0" borderId="0" xfId="0" applyFont="1"/>
    <xf numFmtId="0" fontId="2" fillId="5" borderId="1" xfId="0" applyFont="1" applyFill="1" applyBorder="1" applyAlignment="1">
      <alignment horizontal="center" vertical="top" wrapText="1"/>
    </xf>
    <xf numFmtId="0" fontId="9" fillId="5" borderId="1" xfId="1" applyFont="1" applyFill="1" applyBorder="1" applyAlignment="1">
      <alignment horizontal="center" vertical="top"/>
    </xf>
    <xf numFmtId="0" fontId="2" fillId="3" borderId="1" xfId="0" applyFont="1" applyFill="1" applyBorder="1" applyAlignment="1">
      <alignment horizontal="center" vertical="top" wrapText="1"/>
    </xf>
    <xf numFmtId="0" fontId="9" fillId="3" borderId="1" xfId="1" applyFont="1" applyFill="1" applyBorder="1" applyAlignment="1">
      <alignment horizontal="center" vertical="top"/>
    </xf>
    <xf numFmtId="0" fontId="10" fillId="0" borderId="11" xfId="1" applyFont="1" applyFill="1" applyBorder="1" applyAlignment="1">
      <alignment horizontal="center" vertical="top" wrapText="1"/>
    </xf>
    <xf numFmtId="49" fontId="11" fillId="0" borderId="0" xfId="0" applyNumberFormat="1" applyFont="1"/>
    <xf numFmtId="0" fontId="2" fillId="0" borderId="0" xfId="0" applyFont="1"/>
    <xf numFmtId="14" fontId="0" fillId="0" borderId="0" xfId="0" applyNumberFormat="1"/>
    <xf numFmtId="0" fontId="0" fillId="8" borderId="0" xfId="0" applyFill="1" applyAlignment="1">
      <alignment horizontal="center"/>
    </xf>
    <xf numFmtId="0" fontId="0" fillId="0" borderId="0" xfId="0" applyAlignment="1">
      <alignment horizontal="center"/>
    </xf>
    <xf numFmtId="0" fontId="13" fillId="0" borderId="0" xfId="0" applyFont="1" applyAlignment="1">
      <alignment horizontal="left" wrapText="1"/>
    </xf>
    <xf numFmtId="49" fontId="0" fillId="0" borderId="0" xfId="0" applyNumberFormat="1"/>
    <xf numFmtId="0" fontId="0" fillId="0" borderId="0" xfId="0" applyAlignment="1">
      <alignment horizontal="center" vertical="center"/>
    </xf>
    <xf numFmtId="0" fontId="0" fillId="0" borderId="0" xfId="0" applyAlignment="1">
      <alignment vertical="center"/>
    </xf>
    <xf numFmtId="0" fontId="0" fillId="9" borderId="0" xfId="0" applyFill="1" applyAlignment="1">
      <alignment vertical="center" wrapText="1"/>
    </xf>
    <xf numFmtId="0" fontId="18" fillId="9" borderId="0" xfId="0" applyFont="1" applyFill="1" applyAlignment="1">
      <alignment horizontal="center" vertical="center"/>
    </xf>
    <xf numFmtId="0" fontId="4" fillId="8" borderId="1" xfId="1" applyFont="1" applyFill="1" applyBorder="1" applyAlignment="1">
      <alignment horizontal="center" vertical="top"/>
    </xf>
    <xf numFmtId="49" fontId="0" fillId="0" borderId="1" xfId="0" applyNumberFormat="1" applyBorder="1"/>
    <xf numFmtId="0" fontId="16" fillId="0" borderId="0" xfId="0" applyFont="1" applyAlignment="1">
      <alignment horizontal="right"/>
    </xf>
    <xf numFmtId="0" fontId="12" fillId="8" borderId="0" xfId="0" applyFont="1" applyFill="1" applyAlignment="1">
      <alignment horizontal="right" wrapText="1"/>
    </xf>
    <xf numFmtId="0" fontId="15" fillId="0" borderId="0" xfId="0" applyFont="1" applyAlignment="1">
      <alignment horizontal="right"/>
    </xf>
    <xf numFmtId="0" fontId="13" fillId="8" borderId="0" xfId="0" applyFont="1" applyFill="1" applyAlignment="1">
      <alignment horizontal="right" wrapText="1"/>
    </xf>
    <xf numFmtId="0" fontId="3" fillId="3" borderId="1" xfId="0" applyFont="1" applyFill="1" applyBorder="1" applyAlignment="1">
      <alignment horizontal="center"/>
    </xf>
    <xf numFmtId="0" fontId="19" fillId="0" borderId="0" xfId="0" applyFont="1" applyAlignment="1">
      <alignment horizontal="left" vertical="center" wrapText="1"/>
    </xf>
    <xf numFmtId="0" fontId="4" fillId="10" borderId="1" xfId="0" applyFont="1" applyFill="1" applyBorder="1"/>
    <xf numFmtId="0" fontId="3" fillId="10" borderId="1" xfId="0" applyFont="1" applyFill="1" applyBorder="1" applyAlignment="1">
      <alignment horizontal="center"/>
    </xf>
    <xf numFmtId="0" fontId="6" fillId="6" borderId="14" xfId="0" applyFont="1" applyFill="1" applyBorder="1" applyAlignment="1">
      <alignment vertical="top" wrapText="1"/>
    </xf>
    <xf numFmtId="0" fontId="4" fillId="10" borderId="4" xfId="0" applyFont="1" applyFill="1" applyBorder="1" applyAlignment="1">
      <alignment wrapText="1"/>
    </xf>
    <xf numFmtId="0" fontId="4" fillId="10" borderId="5" xfId="0" applyFont="1" applyFill="1" applyBorder="1" applyAlignment="1">
      <alignment wrapText="1"/>
    </xf>
    <xf numFmtId="0" fontId="3" fillId="3" borderId="1" xfId="0" applyFont="1" applyFill="1" applyBorder="1" applyAlignment="1">
      <alignment horizontal="center" vertical="center" wrapText="1"/>
    </xf>
    <xf numFmtId="0" fontId="3" fillId="10" borderId="1" xfId="0" applyFont="1" applyFill="1" applyBorder="1" applyAlignment="1">
      <alignment horizontal="center" vertical="center"/>
    </xf>
    <xf numFmtId="0" fontId="0" fillId="0" borderId="16" xfId="0" applyBorder="1"/>
    <xf numFmtId="0" fontId="0" fillId="0" borderId="17" xfId="0" applyBorder="1"/>
    <xf numFmtId="49" fontId="0" fillId="0" borderId="18" xfId="0" applyNumberFormat="1" applyBorder="1" applyAlignment="1">
      <alignment wrapText="1"/>
    </xf>
    <xf numFmtId="0" fontId="2" fillId="11" borderId="15" xfId="0" applyFont="1" applyFill="1" applyBorder="1"/>
    <xf numFmtId="0" fontId="25" fillId="0" borderId="0" xfId="0" applyFont="1"/>
    <xf numFmtId="0" fontId="0" fillId="0" borderId="1" xfId="0" applyBorder="1" applyAlignment="1">
      <alignment vertical="center"/>
    </xf>
    <xf numFmtId="0" fontId="0" fillId="0" borderId="25" xfId="0" applyBorder="1" applyAlignment="1">
      <alignment vertical="center"/>
    </xf>
    <xf numFmtId="0" fontId="0" fillId="0" borderId="26" xfId="0" applyBorder="1" applyAlignment="1">
      <alignment vertical="center" wrapText="1"/>
    </xf>
    <xf numFmtId="0" fontId="0" fillId="0" borderId="29" xfId="0" applyBorder="1" applyAlignment="1">
      <alignment vertical="center"/>
    </xf>
    <xf numFmtId="0" fontId="0" fillId="0" borderId="30" xfId="0" applyBorder="1" applyAlignment="1">
      <alignment vertical="center"/>
    </xf>
    <xf numFmtId="0" fontId="0" fillId="0" borderId="31" xfId="0" applyBorder="1" applyAlignment="1">
      <alignment vertical="center" wrapText="1"/>
    </xf>
    <xf numFmtId="0" fontId="0" fillId="0" borderId="23" xfId="0" applyBorder="1" applyAlignment="1">
      <alignment vertical="center"/>
    </xf>
    <xf numFmtId="0" fontId="2" fillId="0" borderId="19" xfId="0" applyFont="1" applyBorder="1" applyAlignment="1">
      <alignment wrapText="1"/>
    </xf>
    <xf numFmtId="0" fontId="0" fillId="0" borderId="13" xfId="0" applyBorder="1" applyAlignment="1">
      <alignment vertical="center" wrapText="1"/>
    </xf>
    <xf numFmtId="0" fontId="0" fillId="0" borderId="24" xfId="0" applyBorder="1" applyAlignment="1">
      <alignment vertical="center" wrapText="1"/>
    </xf>
    <xf numFmtId="0" fontId="0" fillId="0" borderId="0" xfId="0" applyAlignment="1">
      <alignment vertical="center" wrapText="1"/>
    </xf>
    <xf numFmtId="0" fontId="12" fillId="0" borderId="0" xfId="0" applyFont="1" applyAlignment="1">
      <alignment horizontal="right" wrapText="1"/>
    </xf>
    <xf numFmtId="0" fontId="13" fillId="0" borderId="0" xfId="0" applyFont="1" applyAlignment="1">
      <alignment horizontal="right" wrapText="1"/>
    </xf>
    <xf numFmtId="0" fontId="29" fillId="0" borderId="0" xfId="0" applyFont="1"/>
    <xf numFmtId="0" fontId="30" fillId="0" borderId="0" xfId="0" applyFont="1" applyAlignment="1">
      <alignment wrapText="1"/>
    </xf>
    <xf numFmtId="0" fontId="16" fillId="0" borderId="0" xfId="0" applyFont="1"/>
    <xf numFmtId="0" fontId="29" fillId="0" borderId="0" xfId="0" applyFont="1" applyAlignment="1">
      <alignment wrapText="1"/>
    </xf>
    <xf numFmtId="0" fontId="25" fillId="0" borderId="0" xfId="0" applyFont="1" applyAlignment="1">
      <alignment wrapText="1"/>
    </xf>
    <xf numFmtId="0" fontId="31" fillId="0" borderId="0" xfId="0" applyFont="1" applyAlignment="1">
      <alignment wrapText="1"/>
    </xf>
    <xf numFmtId="0" fontId="32" fillId="0" borderId="0" xfId="0" applyFont="1"/>
    <xf numFmtId="0" fontId="33" fillId="0" borderId="0" xfId="0" applyFont="1"/>
    <xf numFmtId="0" fontId="31" fillId="0" borderId="0" xfId="0" applyFont="1"/>
    <xf numFmtId="0" fontId="37" fillId="0" borderId="0" xfId="0" applyFont="1"/>
    <xf numFmtId="0" fontId="31" fillId="0" borderId="1" xfId="0" applyFont="1" applyBorder="1"/>
    <xf numFmtId="0" fontId="31" fillId="0" borderId="13" xfId="0" applyFont="1" applyBorder="1"/>
    <xf numFmtId="0" fontId="34" fillId="0" borderId="0" xfId="0" applyFont="1"/>
    <xf numFmtId="0" fontId="29" fillId="0" borderId="13" xfId="0" applyFont="1" applyBorder="1"/>
    <xf numFmtId="0" fontId="31" fillId="0" borderId="32" xfId="0" applyFont="1" applyBorder="1" applyAlignment="1">
      <alignment wrapText="1"/>
    </xf>
    <xf numFmtId="0" fontId="35" fillId="0" borderId="0" xfId="0" applyFont="1"/>
    <xf numFmtId="0" fontId="38" fillId="0" borderId="0" xfId="0" applyFont="1" applyAlignment="1">
      <alignment wrapText="1"/>
    </xf>
    <xf numFmtId="0" fontId="38" fillId="0" borderId="0" xfId="0" applyFont="1" applyAlignment="1">
      <alignment vertical="center" wrapText="1"/>
    </xf>
    <xf numFmtId="0" fontId="38" fillId="0" borderId="0" xfId="0" applyFont="1"/>
    <xf numFmtId="0" fontId="39" fillId="0" borderId="0" xfId="0" applyFont="1" applyAlignment="1">
      <alignment vertical="center"/>
    </xf>
    <xf numFmtId="0" fontId="4" fillId="3" borderId="6" xfId="0" applyFont="1" applyFill="1" applyBorder="1"/>
    <xf numFmtId="0" fontId="5" fillId="6" borderId="6" xfId="0" applyFont="1" applyFill="1" applyBorder="1" applyAlignment="1">
      <alignment vertical="top" wrapText="1"/>
    </xf>
    <xf numFmtId="0" fontId="4" fillId="3" borderId="8" xfId="0" applyFont="1" applyFill="1" applyBorder="1"/>
    <xf numFmtId="0" fontId="6" fillId="6" borderId="8" xfId="0" applyFont="1" applyFill="1" applyBorder="1" applyAlignment="1">
      <alignment vertical="top" wrapText="1"/>
    </xf>
    <xf numFmtId="0" fontId="18" fillId="0" borderId="0" xfId="0" applyFont="1" applyAlignment="1">
      <alignment horizontal="center"/>
    </xf>
    <xf numFmtId="0" fontId="19" fillId="0" borderId="0" xfId="0" applyFont="1" applyAlignment="1">
      <alignment horizontal="left" wrapText="1"/>
    </xf>
    <xf numFmtId="0" fontId="2" fillId="0" borderId="0" xfId="0" applyFont="1" applyAlignment="1">
      <alignment wrapText="1"/>
    </xf>
    <xf numFmtId="0" fontId="29" fillId="0" borderId="8" xfId="0" applyFont="1" applyBorder="1" applyAlignment="1">
      <alignment wrapText="1"/>
    </xf>
    <xf numFmtId="0" fontId="31" fillId="0" borderId="10" xfId="0" applyFont="1" applyBorder="1" applyAlignment="1">
      <alignment wrapText="1"/>
    </xf>
    <xf numFmtId="0" fontId="29" fillId="0" borderId="10" xfId="0" applyFont="1" applyBorder="1" applyAlignment="1">
      <alignment wrapText="1"/>
    </xf>
    <xf numFmtId="0" fontId="29" fillId="0" borderId="5" xfId="0" applyFont="1" applyBorder="1" applyAlignment="1">
      <alignment wrapText="1"/>
    </xf>
    <xf numFmtId="0" fontId="40" fillId="0" borderId="33" xfId="0" applyFont="1" applyBorder="1" applyAlignment="1">
      <alignment wrapText="1"/>
    </xf>
    <xf numFmtId="0" fontId="31" fillId="0" borderId="8" xfId="0" applyFont="1" applyBorder="1" applyAlignment="1">
      <alignment wrapText="1"/>
    </xf>
    <xf numFmtId="0" fontId="31" fillId="0" borderId="5" xfId="0" applyFont="1" applyBorder="1" applyAlignment="1">
      <alignment wrapText="1"/>
    </xf>
    <xf numFmtId="0" fontId="6" fillId="6" borderId="13" xfId="0" applyFont="1" applyFill="1" applyBorder="1" applyAlignment="1">
      <alignment vertical="top" wrapText="1"/>
    </xf>
    <xf numFmtId="0" fontId="18" fillId="9" borderId="0" xfId="0" applyFont="1" applyFill="1" applyAlignment="1">
      <alignment horizontal="left" vertical="center"/>
    </xf>
    <xf numFmtId="0" fontId="0" fillId="0" borderId="0" xfId="0" applyAlignment="1">
      <alignment horizontal="left"/>
    </xf>
    <xf numFmtId="0" fontId="0" fillId="8" borderId="0" xfId="0" applyFill="1" applyAlignment="1">
      <alignment horizontal="left"/>
    </xf>
    <xf numFmtId="0" fontId="4" fillId="3" borderId="1" xfId="0" applyFont="1" applyFill="1" applyBorder="1" applyAlignment="1">
      <alignment horizontal="left"/>
    </xf>
    <xf numFmtId="0" fontId="6" fillId="6" borderId="1" xfId="0" applyFont="1" applyFill="1" applyBorder="1" applyAlignment="1">
      <alignment horizontal="left" vertical="top" wrapText="1"/>
    </xf>
    <xf numFmtId="0" fontId="25" fillId="0" borderId="1" xfId="0" applyFont="1" applyBorder="1" applyAlignment="1">
      <alignment vertical="top" wrapText="1"/>
    </xf>
    <xf numFmtId="0" fontId="41" fillId="0" borderId="0" xfId="0" applyFont="1"/>
    <xf numFmtId="0" fontId="42" fillId="0" borderId="0" xfId="0" applyFont="1" applyAlignment="1">
      <alignment wrapText="1"/>
    </xf>
    <xf numFmtId="0" fontId="25" fillId="0" borderId="8" xfId="0" applyFont="1" applyBorder="1" applyAlignment="1">
      <alignment wrapText="1"/>
    </xf>
    <xf numFmtId="0" fontId="30" fillId="0" borderId="0" xfId="0" applyFont="1"/>
    <xf numFmtId="0" fontId="31" fillId="0" borderId="13" xfId="0" applyFont="1" applyBorder="1" applyAlignment="1">
      <alignment wrapText="1"/>
    </xf>
    <xf numFmtId="0" fontId="26" fillId="0" borderId="0" xfId="0" applyFont="1"/>
    <xf numFmtId="0" fontId="26" fillId="0" borderId="0" xfId="0" applyFont="1" applyAlignment="1">
      <alignment wrapText="1"/>
    </xf>
    <xf numFmtId="0" fontId="43" fillId="0" borderId="0" xfId="0" applyFont="1"/>
    <xf numFmtId="0" fontId="25" fillId="0" borderId="11" xfId="0" applyFont="1" applyBorder="1" applyAlignment="1">
      <alignment wrapText="1"/>
    </xf>
    <xf numFmtId="0" fontId="25" fillId="0" borderId="7" xfId="0" applyFont="1" applyBorder="1" applyAlignment="1">
      <alignment wrapText="1"/>
    </xf>
    <xf numFmtId="0" fontId="25" fillId="0" borderId="34" xfId="0" applyFont="1" applyBorder="1" applyAlignment="1">
      <alignment wrapText="1"/>
    </xf>
    <xf numFmtId="0" fontId="29" fillId="0" borderId="1" xfId="0" applyFont="1" applyBorder="1" applyAlignment="1">
      <alignment wrapText="1"/>
    </xf>
    <xf numFmtId="0" fontId="29" fillId="0" borderId="32" xfId="0" applyFont="1" applyBorder="1" applyAlignment="1">
      <alignment wrapText="1"/>
    </xf>
    <xf numFmtId="0" fontId="16" fillId="0" borderId="13" xfId="0" applyFont="1" applyBorder="1"/>
    <xf numFmtId="0" fontId="30" fillId="0" borderId="13" xfId="0" applyFont="1" applyBorder="1"/>
    <xf numFmtId="0" fontId="16" fillId="0" borderId="0" xfId="0" applyFont="1" applyAlignment="1">
      <alignment wrapText="1"/>
    </xf>
    <xf numFmtId="0" fontId="45" fillId="0" borderId="0" xfId="0" applyFont="1" applyAlignment="1">
      <alignment wrapText="1"/>
    </xf>
    <xf numFmtId="0" fontId="0" fillId="0" borderId="25" xfId="0" applyBorder="1" applyAlignment="1">
      <alignment horizontal="left" vertical="center"/>
    </xf>
    <xf numFmtId="0" fontId="0" fillId="0" borderId="0" xfId="0" applyAlignment="1">
      <alignment horizontal="left" wrapText="1"/>
    </xf>
    <xf numFmtId="0" fontId="21" fillId="0" borderId="1" xfId="0" applyFont="1" applyBorder="1" applyAlignment="1">
      <alignment horizontal="center" vertical="center" wrapText="1"/>
    </xf>
    <xf numFmtId="0" fontId="17" fillId="3" borderId="1" xfId="0" applyFont="1" applyFill="1" applyBorder="1" applyAlignment="1">
      <alignment horizontal="center" vertical="center" wrapText="1"/>
    </xf>
    <xf numFmtId="0" fontId="19" fillId="3" borderId="1" xfId="0" applyFont="1" applyFill="1" applyBorder="1" applyAlignment="1">
      <alignment horizontal="center" vertical="center" wrapText="1"/>
    </xf>
    <xf numFmtId="0" fontId="27" fillId="0" borderId="0" xfId="0" applyFont="1" applyAlignment="1">
      <alignment horizontal="left" vertical="center" wrapText="1"/>
    </xf>
    <xf numFmtId="0" fontId="26" fillId="0" borderId="0" xfId="0" applyFont="1" applyAlignment="1">
      <alignment horizontal="left" vertical="center" wrapText="1"/>
    </xf>
    <xf numFmtId="0" fontId="3" fillId="4" borderId="2" xfId="0" applyFont="1" applyFill="1" applyBorder="1" applyAlignment="1">
      <alignment horizontal="center" vertical="center"/>
    </xf>
    <xf numFmtId="0" fontId="24" fillId="0" borderId="9" xfId="0" applyFont="1" applyBorder="1" applyAlignment="1">
      <alignment horizontal="center" vertical="center"/>
    </xf>
    <xf numFmtId="0" fontId="3" fillId="3" borderId="2" xfId="0" applyFont="1" applyFill="1" applyBorder="1" applyAlignment="1">
      <alignment horizontal="center" vertical="center" wrapText="1"/>
    </xf>
    <xf numFmtId="0" fontId="0" fillId="0" borderId="3" xfId="0" applyBorder="1" applyAlignment="1">
      <alignment vertical="center"/>
    </xf>
    <xf numFmtId="0" fontId="0" fillId="0" borderId="9" xfId="0" applyBorder="1" applyAlignment="1">
      <alignment vertical="center" wrapText="1"/>
    </xf>
    <xf numFmtId="0" fontId="0" fillId="0" borderId="10" xfId="0" applyBorder="1" applyAlignment="1">
      <alignment vertical="center"/>
    </xf>
    <xf numFmtId="0" fontId="3" fillId="10" borderId="14" xfId="0" applyFont="1" applyFill="1" applyBorder="1" applyAlignment="1">
      <alignment horizontal="center" vertical="center" wrapText="1"/>
    </xf>
    <xf numFmtId="0" fontId="3" fillId="10" borderId="14" xfId="0" applyFont="1" applyFill="1" applyBorder="1" applyAlignment="1">
      <alignment horizontal="center" vertical="center"/>
    </xf>
    <xf numFmtId="0" fontId="3" fillId="3" borderId="6" xfId="0" applyFont="1" applyFill="1" applyBorder="1" applyAlignment="1">
      <alignment horizontal="center"/>
    </xf>
    <xf numFmtId="0" fontId="0" fillId="0" borderId="7" xfId="0" applyBorder="1" applyAlignment="1">
      <alignment horizontal="center"/>
    </xf>
    <xf numFmtId="0" fontId="0" fillId="0" borderId="8" xfId="0" applyBorder="1" applyAlignment="1">
      <alignment horizontal="center"/>
    </xf>
    <xf numFmtId="0" fontId="0" fillId="3" borderId="8" xfId="0" applyFill="1" applyBorder="1" applyAlignment="1">
      <alignment horizontal="center"/>
    </xf>
    <xf numFmtId="0" fontId="3" fillId="3" borderId="6" xfId="0" applyFont="1" applyFill="1" applyBorder="1" applyAlignment="1">
      <alignment horizontal="center" wrapText="1"/>
    </xf>
    <xf numFmtId="0" fontId="0" fillId="3" borderId="8" xfId="0" applyFill="1" applyBorder="1" applyAlignment="1">
      <alignment horizontal="center" wrapText="1"/>
    </xf>
    <xf numFmtId="0" fontId="3" fillId="3" borderId="6" xfId="0" applyFont="1" applyFill="1" applyBorder="1" applyAlignment="1">
      <alignment horizontal="center" vertical="center"/>
    </xf>
    <xf numFmtId="0" fontId="3" fillId="3" borderId="7" xfId="0" applyFont="1" applyFill="1" applyBorder="1" applyAlignment="1">
      <alignment horizontal="center" vertical="center"/>
    </xf>
    <xf numFmtId="0" fontId="3" fillId="3" borderId="8" xfId="0" applyFont="1" applyFill="1" applyBorder="1" applyAlignment="1">
      <alignment horizontal="center" vertical="center"/>
    </xf>
    <xf numFmtId="0" fontId="3" fillId="10" borderId="12" xfId="0" applyFont="1" applyFill="1" applyBorder="1" applyAlignment="1">
      <alignment horizontal="center" wrapText="1"/>
    </xf>
    <xf numFmtId="0" fontId="3" fillId="10" borderId="13" xfId="0" applyFont="1" applyFill="1" applyBorder="1" applyAlignment="1">
      <alignment horizontal="center" wrapText="1"/>
    </xf>
    <xf numFmtId="0" fontId="3" fillId="3" borderId="7" xfId="0" applyFont="1" applyFill="1" applyBorder="1" applyAlignment="1">
      <alignment horizontal="center"/>
    </xf>
    <xf numFmtId="0" fontId="3" fillId="3" borderId="8" xfId="0" applyFont="1" applyFill="1" applyBorder="1" applyAlignment="1">
      <alignment horizontal="center"/>
    </xf>
    <xf numFmtId="0" fontId="17" fillId="9" borderId="20" xfId="0" applyFont="1" applyFill="1" applyBorder="1" applyAlignment="1">
      <alignment horizontal="center"/>
    </xf>
    <xf numFmtId="0" fontId="17" fillId="9" borderId="21" xfId="0" applyFont="1" applyFill="1" applyBorder="1" applyAlignment="1">
      <alignment horizontal="center"/>
    </xf>
    <xf numFmtId="0" fontId="17" fillId="9" borderId="22" xfId="0" applyFont="1" applyFill="1" applyBorder="1" applyAlignment="1">
      <alignment horizontal="center"/>
    </xf>
    <xf numFmtId="0" fontId="0" fillId="9" borderId="27" xfId="0" applyFill="1" applyBorder="1" applyAlignment="1">
      <alignment horizontal="center" vertical="center"/>
    </xf>
    <xf numFmtId="0" fontId="0" fillId="9" borderId="7" xfId="0" applyFill="1" applyBorder="1" applyAlignment="1">
      <alignment horizontal="center" vertical="center"/>
    </xf>
    <xf numFmtId="0" fontId="0" fillId="9" borderId="28" xfId="0" applyFill="1" applyBorder="1" applyAlignment="1">
      <alignment horizontal="center" vertical="center"/>
    </xf>
    <xf numFmtId="0" fontId="0" fillId="0" borderId="25" xfId="0" applyBorder="1" applyAlignment="1">
      <alignment horizontal="left" vertical="center"/>
    </xf>
    <xf numFmtId="0" fontId="0" fillId="0" borderId="0" xfId="0" applyAlignment="1">
      <alignment horizontal="left" wrapText="1"/>
    </xf>
    <xf numFmtId="0" fontId="2" fillId="5" borderId="6" xfId="0" applyFont="1" applyFill="1" applyBorder="1" applyAlignment="1">
      <alignment horizontal="center"/>
    </xf>
    <xf numFmtId="0" fontId="2" fillId="5" borderId="7" xfId="0" applyFont="1" applyFill="1" applyBorder="1" applyAlignment="1">
      <alignment horizontal="center"/>
    </xf>
    <xf numFmtId="0" fontId="2" fillId="5" borderId="8" xfId="0" applyFont="1" applyFill="1" applyBorder="1" applyAlignment="1">
      <alignment horizontal="center"/>
    </xf>
    <xf numFmtId="0" fontId="2" fillId="3" borderId="9" xfId="0" applyFont="1" applyFill="1" applyBorder="1" applyAlignment="1">
      <alignment horizontal="center"/>
    </xf>
    <xf numFmtId="0" fontId="2" fillId="3" borderId="11" xfId="0" applyFont="1" applyFill="1" applyBorder="1" applyAlignment="1">
      <alignment horizontal="center"/>
    </xf>
    <xf numFmtId="0" fontId="27" fillId="0" borderId="0" xfId="0" applyFont="1" applyAlignment="1">
      <alignment wrapText="1"/>
    </xf>
  </cellXfs>
  <cellStyles count="2">
    <cellStyle name="Good" xfId="1" builtinId="26"/>
    <cellStyle name="Normal" xfId="0" builtinId="0"/>
  </cellStyles>
  <dxfs count="5">
    <dxf>
      <alignment horizontal="general" vertical="bottom" textRotation="0" wrapText="1" indent="0" justifyLastLine="0" shrinkToFit="0" readingOrder="0"/>
    </dxf>
    <dxf>
      <alignment horizontal="general" vertical="bottom" textRotation="0" wrapText="1" indent="0" justifyLastLine="0" shrinkToFit="0" readingOrder="0"/>
    </dxf>
    <dxf>
      <border outline="0">
        <top style="thin">
          <color auto="1"/>
        </top>
      </border>
    </dxf>
    <dxf>
      <border outline="0">
        <bottom style="thin">
          <color auto="1"/>
        </bottom>
      </border>
    </dxf>
    <dxf>
      <font>
        <b/>
        <i val="0"/>
        <strike val="0"/>
        <condense val="0"/>
        <extend val="0"/>
        <outline val="0"/>
        <shadow val="0"/>
        <u/>
        <vertAlign val="baseline"/>
        <sz val="11"/>
        <color rgb="FFFFFFFF"/>
        <name val="Calibri"/>
        <family val="2"/>
        <scheme val="minor"/>
      </font>
      <fill>
        <patternFill patternType="none">
          <fgColor indexed="64"/>
          <bgColor indexed="65"/>
        </patternFill>
      </fill>
      <alignment horizontal="center" vertical="top" textRotation="0" wrapText="0" indent="0" justifyLastLine="0" shrinkToFit="0" readingOrder="0"/>
    </dxf>
  </dxfs>
  <tableStyles count="0" defaultTableStyle="TableStyleMedium2" defaultPivotStyle="PivotStyleLight16"/>
  <colors>
    <mruColors>
      <color rgb="FF032BE3"/>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sharedStrings" Target="sharedStrings.xml"/><Relationship Id="rId12" Type="http://schemas.openxmlformats.org/officeDocument/2006/relationships/customXml" Target="../customXml/item4.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11" Type="http://schemas.openxmlformats.org/officeDocument/2006/relationships/customXml" Target="../customXml/item3.xml"/><Relationship Id="rId5" Type="http://schemas.openxmlformats.org/officeDocument/2006/relationships/theme" Target="theme/theme1.xml"/><Relationship Id="rId10" Type="http://schemas.openxmlformats.org/officeDocument/2006/relationships/customXml" Target="../customXml/item2.xml"/><Relationship Id="rId4" Type="http://schemas.openxmlformats.org/officeDocument/2006/relationships/worksheet" Target="worksheets/sheet4.xml"/><Relationship Id="rId9" Type="http://schemas.openxmlformats.org/officeDocument/2006/relationships/customXml" Target="../customXml/item1.xml"/></Relationships>
</file>

<file path=xl/drawings/drawing1.xml><?xml version="1.0" encoding="utf-8"?>
<xdr:wsDr xmlns:xdr="http://schemas.openxmlformats.org/drawingml/2006/spreadsheetDrawing" xmlns:a="http://schemas.openxmlformats.org/drawingml/2006/main">
  <xdr:twoCellAnchor>
    <xdr:from>
      <xdr:col>1</xdr:col>
      <xdr:colOff>114300</xdr:colOff>
      <xdr:row>9</xdr:row>
      <xdr:rowOff>101600</xdr:rowOff>
    </xdr:from>
    <xdr:to>
      <xdr:col>4</xdr:col>
      <xdr:colOff>428625</xdr:colOff>
      <xdr:row>9</xdr:row>
      <xdr:rowOff>447675</xdr:rowOff>
    </xdr:to>
    <xdr:sp macro="[0]!HideColumns" textlink="">
      <xdr:nvSpPr>
        <xdr:cNvPr id="4" name="Rounded Rectangle 3">
          <a:extLst>
            <a:ext uri="{FF2B5EF4-FFF2-40B4-BE49-F238E27FC236}">
              <a16:creationId xmlns:a16="http://schemas.microsoft.com/office/drawing/2014/main" id="{BA4F0A3E-702F-AE46-9D47-6E94C0BFEAC4}"/>
            </a:ext>
          </a:extLst>
        </xdr:cNvPr>
        <xdr:cNvSpPr/>
      </xdr:nvSpPr>
      <xdr:spPr>
        <a:xfrm>
          <a:off x="114300" y="2063750"/>
          <a:ext cx="1381125" cy="346075"/>
        </a:xfrm>
        <a:prstGeom prst="roundRect">
          <a:avLst/>
        </a:prstGeom>
        <a:solidFill>
          <a:srgbClr val="00B05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400"/>
            <a:t>HIDE</a:t>
          </a:r>
          <a:r>
            <a:rPr lang="en-US" sz="1400" baseline="0"/>
            <a:t> COLUMNS</a:t>
          </a:r>
          <a:endParaRPr lang="en-US" sz="1400"/>
        </a:p>
      </xdr:txBody>
    </xdr:sp>
    <xdr:clientData/>
  </xdr:twoCellAnchor>
  <xdr:twoCellAnchor>
    <xdr:from>
      <xdr:col>4</xdr:col>
      <xdr:colOff>508000</xdr:colOff>
      <xdr:row>9</xdr:row>
      <xdr:rowOff>104775</xdr:rowOff>
    </xdr:from>
    <xdr:to>
      <xdr:col>5</xdr:col>
      <xdr:colOff>790575</xdr:colOff>
      <xdr:row>9</xdr:row>
      <xdr:rowOff>447675</xdr:rowOff>
    </xdr:to>
    <xdr:sp macro="[0]!UnHide_Columns" textlink="">
      <xdr:nvSpPr>
        <xdr:cNvPr id="5" name="Rounded Rectangle 4">
          <a:extLst>
            <a:ext uri="{FF2B5EF4-FFF2-40B4-BE49-F238E27FC236}">
              <a16:creationId xmlns:a16="http://schemas.microsoft.com/office/drawing/2014/main" id="{A6FFFC3C-AE23-4D41-9188-59833DE22D4B}"/>
            </a:ext>
          </a:extLst>
        </xdr:cNvPr>
        <xdr:cNvSpPr/>
      </xdr:nvSpPr>
      <xdr:spPr>
        <a:xfrm flipH="1">
          <a:off x="1574800" y="2066925"/>
          <a:ext cx="1625600" cy="342900"/>
        </a:xfrm>
        <a:prstGeom prst="roundRect">
          <a:avLst/>
        </a:prstGeom>
        <a:solidFill>
          <a:srgbClr val="FF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400"/>
            <a:t>UNHIDE COLUMNS</a:t>
          </a:r>
        </a:p>
      </xdr:txBody>
    </xdr:sp>
    <xdr:clientData/>
  </xdr:twoCellAnchor>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CEB59552-31EB-45E4-A189-6178F1DB1EC3}" name="Table2" displayName="Table2" ref="J2:O39" totalsRowShown="0" headerRowDxfId="4" headerRowBorderDxfId="3" tableBorderDxfId="2" headerRowCellStyle="Good">
  <autoFilter ref="J2:O39" xr:uid="{CEB59552-31EB-45E4-A189-6178F1DB1EC3}"/>
  <tableColumns count="6">
    <tableColumn id="20" xr3:uid="{447197D5-83C5-43B7-8733-9D946EEAC81E}" name="Valid Character Sets" dataDxfId="1"/>
    <tableColumn id="1" xr3:uid="{D69CA93D-03E6-4D92-B244-A3E7D42A87ED}" name="Paper Valid Character Sets" dataDxfId="0"/>
    <tableColumn id="21" xr3:uid="{164AFDEB-6347-465E-B7D5-B8B46FE4C05D}" name="Register Load Table Code"/>
    <tableColumn id="22" xr3:uid="{2F888CAB-2749-4FEB-822F-2748226C1530}" name="Register Data Type"/>
    <tableColumn id="2" xr3:uid="{9BC209A1-9FD7-BC45-9410-16B4FE92A2D8}" name="DIRECTORATES"/>
    <tableColumn id="3" xr3:uid="{E1D2BFB8-B74F-544C-9E41-E05BED121ECE}" name="MODES"/>
  </tableColumns>
  <tableStyleInfo name="TableStyleLight8" showFirstColumn="0" showLastColumn="0" showRowStripes="1" showColumnStripes="0"/>
</table>
</file>

<file path=xl/theme/theme1.xml><?xml version="1.0" encoding="utf-8"?>
<a:theme xmlns:a="http://schemas.openxmlformats.org/drawingml/2006/main" name="Office 2013 - 2022 Theme">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2.bin"/><Relationship Id="rId4" Type="http://schemas.openxmlformats.org/officeDocument/2006/relationships/comments" Target="../comments1.x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38A0CF5-4956-46FF-9A80-1F751D817002}">
  <sheetPr codeName="Sheet1"/>
  <dimension ref="A1:B20"/>
  <sheetViews>
    <sheetView workbookViewId="0">
      <selection activeCell="B23" sqref="B23"/>
    </sheetView>
  </sheetViews>
  <sheetFormatPr defaultColWidth="8.85546875" defaultRowHeight="15"/>
  <cols>
    <col min="1" max="1" width="11.42578125" customWidth="1"/>
    <col min="2" max="2" width="97.42578125" customWidth="1"/>
  </cols>
  <sheetData>
    <row r="1" spans="1:2">
      <c r="A1" s="21" t="s">
        <v>0</v>
      </c>
      <c r="B1" s="21" t="s">
        <v>1</v>
      </c>
    </row>
    <row r="2" spans="1:2">
      <c r="A2" s="22">
        <v>45177</v>
      </c>
      <c r="B2" t="s">
        <v>2</v>
      </c>
    </row>
    <row r="3" spans="1:2">
      <c r="A3" s="22">
        <v>45195</v>
      </c>
      <c r="B3" t="s">
        <v>3</v>
      </c>
    </row>
    <row r="4" spans="1:2">
      <c r="A4" s="22">
        <v>45260</v>
      </c>
      <c r="B4" t="s">
        <v>4</v>
      </c>
    </row>
    <row r="5" spans="1:2">
      <c r="A5" s="22">
        <v>45274</v>
      </c>
      <c r="B5" t="s">
        <v>5</v>
      </c>
    </row>
    <row r="6" spans="1:2">
      <c r="A6" s="22">
        <v>45310</v>
      </c>
      <c r="B6" t="s">
        <v>5</v>
      </c>
    </row>
    <row r="7" spans="1:2">
      <c r="A7" s="22">
        <v>45315</v>
      </c>
      <c r="B7" s="13" t="s">
        <v>6</v>
      </c>
    </row>
    <row r="8" spans="1:2">
      <c r="A8" s="22">
        <v>45323</v>
      </c>
      <c r="B8" t="s">
        <v>7</v>
      </c>
    </row>
    <row r="9" spans="1:2">
      <c r="A9" s="22">
        <v>45349</v>
      </c>
      <c r="B9" s="123" t="s">
        <v>8</v>
      </c>
    </row>
    <row r="10" spans="1:2">
      <c r="A10" s="22">
        <v>45351</v>
      </c>
      <c r="B10" t="s">
        <v>9</v>
      </c>
    </row>
    <row r="11" spans="1:2" ht="30">
      <c r="A11" s="22">
        <v>45376</v>
      </c>
      <c r="B11" s="13" t="s">
        <v>10</v>
      </c>
    </row>
    <row r="12" spans="1:2">
      <c r="A12" s="22">
        <v>45457</v>
      </c>
      <c r="B12" t="s">
        <v>11</v>
      </c>
    </row>
    <row r="13" spans="1:2">
      <c r="A13" s="22">
        <v>45484</v>
      </c>
      <c r="B13" t="s">
        <v>12</v>
      </c>
    </row>
    <row r="14" spans="1:2">
      <c r="A14" s="22">
        <v>45502</v>
      </c>
      <c r="B14" t="s">
        <v>13</v>
      </c>
    </row>
    <row r="15" spans="1:2">
      <c r="A15" s="22">
        <v>45526</v>
      </c>
      <c r="B15" t="s">
        <v>14</v>
      </c>
    </row>
    <row r="16" spans="1:2">
      <c r="A16" s="22">
        <v>45527</v>
      </c>
      <c r="B16" t="s">
        <v>15</v>
      </c>
    </row>
    <row r="17" spans="1:1">
      <c r="A17" s="22"/>
    </row>
    <row r="18" spans="1:1">
      <c r="A18" s="22"/>
    </row>
    <row r="19" spans="1:1">
      <c r="A19" s="22"/>
    </row>
    <row r="20" spans="1:1">
      <c r="A20" s="22"/>
    </row>
  </sheetData>
  <pageMargins left="0.7" right="0.7" top="0.75" bottom="0.75" header="0.3" footer="0.3"/>
  <pageSetup orientation="portrait" horizontalDpi="1200" verticalDpi="1200"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BE462DE-34FF-4A43-BEB4-23F8BD1C545F}">
  <sheetPr codeName="Sheet2"/>
  <dimension ref="A1:AB446"/>
  <sheetViews>
    <sheetView tabSelected="1" topLeftCell="A11" zoomScale="84" zoomScaleNormal="84" workbookViewId="0">
      <selection activeCell="D14" sqref="D14"/>
    </sheetView>
  </sheetViews>
  <sheetFormatPr defaultColWidth="8.85546875" defaultRowHeight="15"/>
  <cols>
    <col min="2" max="2" width="16" customWidth="1"/>
    <col min="3" max="3" width="15.140625" customWidth="1"/>
    <col min="4" max="4" width="26.140625" customWidth="1"/>
    <col min="5" max="5" width="35.85546875" customWidth="1"/>
    <col min="6" max="6" width="11.85546875" style="100" customWidth="1"/>
    <col min="7" max="7" width="20.42578125" bestFit="1" customWidth="1"/>
    <col min="8" max="8" width="9.85546875" bestFit="1" customWidth="1"/>
    <col min="9" max="9" width="14.42578125" bestFit="1" customWidth="1"/>
    <col min="10" max="10" width="26.85546875" customWidth="1"/>
    <col min="11" max="11" width="30.85546875" customWidth="1"/>
    <col min="12" max="13" width="17.5703125" customWidth="1"/>
    <col min="14" max="14" width="73.140625" customWidth="1"/>
    <col min="15" max="15" width="18.140625" bestFit="1" customWidth="1"/>
    <col min="16" max="16" width="16.85546875" bestFit="1" customWidth="1"/>
    <col min="17" max="17" width="14.5703125" bestFit="1" customWidth="1"/>
    <col min="18" max="18" width="24.5703125" bestFit="1" customWidth="1"/>
    <col min="19" max="19" width="16.28515625" bestFit="1" customWidth="1"/>
    <col min="20" max="20" width="16" bestFit="1" customWidth="1"/>
    <col min="21" max="21" width="20.85546875" bestFit="1" customWidth="1"/>
    <col min="22" max="22" width="23" customWidth="1"/>
    <col min="23" max="23" width="26" customWidth="1"/>
    <col min="24" max="24" width="29.42578125" customWidth="1"/>
    <col min="25" max="25" width="34.28515625" customWidth="1"/>
    <col min="26" max="28" width="7.140625" customWidth="1"/>
  </cols>
  <sheetData>
    <row r="1" spans="1:28" s="28" customFormat="1" ht="60" hidden="1">
      <c r="B1" s="29" t="s">
        <v>16</v>
      </c>
      <c r="C1" s="61"/>
      <c r="D1" s="61"/>
      <c r="E1" s="30">
        <f>IF(AND(E2=1,E4=1),1,"Hide")</f>
        <v>1</v>
      </c>
      <c r="F1" s="99">
        <f t="shared" ref="F1:AB1" si="0">IF(AND(F2=1,F4=1),1,"Hide")</f>
        <v>1</v>
      </c>
      <c r="G1" s="30">
        <f t="shared" si="0"/>
        <v>1</v>
      </c>
      <c r="H1" s="30">
        <f t="shared" si="0"/>
        <v>1</v>
      </c>
      <c r="I1" s="30">
        <f t="shared" si="0"/>
        <v>1</v>
      </c>
      <c r="J1" s="88">
        <f t="shared" si="0"/>
        <v>1</v>
      </c>
      <c r="K1" s="30">
        <f t="shared" si="0"/>
        <v>1</v>
      </c>
      <c r="L1" s="30" t="str">
        <f t="shared" si="0"/>
        <v>Hide</v>
      </c>
      <c r="M1" s="30" t="str">
        <f t="shared" si="0"/>
        <v>Hide</v>
      </c>
      <c r="N1" s="30">
        <f t="shared" si="0"/>
        <v>1</v>
      </c>
      <c r="O1" s="30">
        <f t="shared" si="0"/>
        <v>1</v>
      </c>
      <c r="P1" s="30">
        <f t="shared" si="0"/>
        <v>1</v>
      </c>
      <c r="Q1" s="30">
        <f t="shared" si="0"/>
        <v>1</v>
      </c>
      <c r="R1" s="30">
        <f t="shared" si="0"/>
        <v>1</v>
      </c>
      <c r="S1" s="30">
        <f t="shared" si="0"/>
        <v>1</v>
      </c>
      <c r="T1" s="30">
        <f t="shared" si="0"/>
        <v>1</v>
      </c>
      <c r="U1" s="30">
        <f>IF(AND(U2=1,U4=1),1,"Hide")</f>
        <v>1</v>
      </c>
      <c r="V1" s="30" t="str">
        <f t="shared" si="0"/>
        <v>Hide</v>
      </c>
      <c r="W1" s="30">
        <f t="shared" si="0"/>
        <v>1</v>
      </c>
      <c r="X1" s="30">
        <f t="shared" si="0"/>
        <v>1</v>
      </c>
      <c r="Y1" s="30">
        <f t="shared" si="0"/>
        <v>1</v>
      </c>
      <c r="Z1" s="30" t="str">
        <f t="shared" si="0"/>
        <v>Hide</v>
      </c>
      <c r="AA1" s="30" t="str">
        <f t="shared" si="0"/>
        <v>Hide</v>
      </c>
      <c r="AB1" s="30" t="str">
        <f t="shared" si="0"/>
        <v>Hide</v>
      </c>
    </row>
    <row r="2" spans="1:28" hidden="1">
      <c r="B2" s="33" t="s">
        <v>17</v>
      </c>
      <c r="C2" s="33"/>
      <c r="D2" s="33"/>
      <c r="E2" s="24">
        <f>IF(OR(E3=$F$9,E3="ALL",$F$9="ALL Modes"), 1,"Hide")</f>
        <v>1</v>
      </c>
      <c r="F2" s="100">
        <f t="shared" ref="F2:AB2" si="1">IF(OR(F3=$F$9,F3="ALL",$F$9="ALL Modes"), 1,"Hide")</f>
        <v>1</v>
      </c>
      <c r="G2" s="24">
        <f t="shared" si="1"/>
        <v>1</v>
      </c>
      <c r="H2" s="24">
        <f t="shared" si="1"/>
        <v>1</v>
      </c>
      <c r="I2" s="24">
        <f t="shared" si="1"/>
        <v>1</v>
      </c>
      <c r="J2" s="24">
        <f t="shared" si="1"/>
        <v>1</v>
      </c>
      <c r="K2" s="24">
        <f t="shared" si="1"/>
        <v>1</v>
      </c>
      <c r="L2" s="24">
        <f t="shared" si="1"/>
        <v>1</v>
      </c>
      <c r="M2" s="24">
        <f t="shared" si="1"/>
        <v>1</v>
      </c>
      <c r="N2" s="24">
        <f t="shared" si="1"/>
        <v>1</v>
      </c>
      <c r="O2" s="24">
        <f t="shared" si="1"/>
        <v>1</v>
      </c>
      <c r="P2" s="24">
        <f t="shared" si="1"/>
        <v>1</v>
      </c>
      <c r="Q2" s="24">
        <f t="shared" si="1"/>
        <v>1</v>
      </c>
      <c r="R2" s="24">
        <f t="shared" si="1"/>
        <v>1</v>
      </c>
      <c r="S2" s="24">
        <f t="shared" si="1"/>
        <v>1</v>
      </c>
      <c r="T2" s="24">
        <f t="shared" si="1"/>
        <v>1</v>
      </c>
      <c r="U2" s="24">
        <f t="shared" si="1"/>
        <v>1</v>
      </c>
      <c r="V2" s="24" t="str">
        <f t="shared" si="1"/>
        <v>Hide</v>
      </c>
      <c r="W2" s="24">
        <f t="shared" si="1"/>
        <v>1</v>
      </c>
      <c r="X2" s="24">
        <f t="shared" si="1"/>
        <v>1</v>
      </c>
      <c r="Y2" s="24">
        <f t="shared" si="1"/>
        <v>1</v>
      </c>
      <c r="Z2" s="24" t="str">
        <f t="shared" si="1"/>
        <v>Hide</v>
      </c>
      <c r="AA2" s="24" t="str">
        <f t="shared" si="1"/>
        <v>Hide</v>
      </c>
      <c r="AB2" s="24" t="str">
        <f t="shared" si="1"/>
        <v>Hide</v>
      </c>
    </row>
    <row r="3" spans="1:28" ht="15.75" hidden="1">
      <c r="B3" s="34" t="s">
        <v>18</v>
      </c>
      <c r="C3" s="62"/>
      <c r="D3" s="62"/>
      <c r="E3" s="23" t="s">
        <v>19</v>
      </c>
      <c r="F3" s="101" t="s">
        <v>19</v>
      </c>
      <c r="G3" s="23" t="s">
        <v>19</v>
      </c>
      <c r="H3" s="23" t="s">
        <v>19</v>
      </c>
      <c r="I3" s="23" t="s">
        <v>19</v>
      </c>
      <c r="J3" s="24" t="s">
        <v>19</v>
      </c>
      <c r="K3" s="23" t="s">
        <v>19</v>
      </c>
      <c r="L3" s="23" t="s">
        <v>19</v>
      </c>
      <c r="M3" s="23" t="s">
        <v>19</v>
      </c>
      <c r="N3" s="23" t="s">
        <v>19</v>
      </c>
      <c r="O3" s="23" t="s">
        <v>19</v>
      </c>
      <c r="P3" s="23" t="s">
        <v>19</v>
      </c>
      <c r="Q3" s="23" t="s">
        <v>19</v>
      </c>
      <c r="R3" s="23" t="s">
        <v>19</v>
      </c>
      <c r="S3" s="23" t="s">
        <v>19</v>
      </c>
      <c r="T3" s="23" t="s">
        <v>19</v>
      </c>
      <c r="U3" s="23" t="s">
        <v>19</v>
      </c>
      <c r="V3" s="23" t="s">
        <v>20</v>
      </c>
      <c r="W3" s="23" t="s">
        <v>21</v>
      </c>
      <c r="X3" s="23" t="s">
        <v>19</v>
      </c>
      <c r="Y3" s="23" t="s">
        <v>19</v>
      </c>
      <c r="Z3" s="23" t="s">
        <v>22</v>
      </c>
      <c r="AA3" s="23" t="s">
        <v>22</v>
      </c>
      <c r="AB3" s="23" t="s">
        <v>22</v>
      </c>
    </row>
    <row r="4" spans="1:28" hidden="1">
      <c r="B4" s="35" t="s">
        <v>23</v>
      </c>
      <c r="C4" s="35"/>
      <c r="D4" s="35"/>
      <c r="E4" s="24">
        <f t="shared" ref="E4:N4" si="2">IF(OR(E5=$B$9,E5="ALL"), 1,"Hide")</f>
        <v>1</v>
      </c>
      <c r="F4" s="100">
        <f t="shared" si="2"/>
        <v>1</v>
      </c>
      <c r="G4" s="24">
        <f t="shared" si="2"/>
        <v>1</v>
      </c>
      <c r="H4" s="24">
        <f t="shared" si="2"/>
        <v>1</v>
      </c>
      <c r="I4" s="24">
        <f t="shared" si="2"/>
        <v>1</v>
      </c>
      <c r="J4" s="24">
        <f t="shared" si="2"/>
        <v>1</v>
      </c>
      <c r="K4" s="24">
        <f t="shared" si="2"/>
        <v>1</v>
      </c>
      <c r="L4" s="24" t="str">
        <f t="shared" si="2"/>
        <v>Hide</v>
      </c>
      <c r="M4" s="24" t="str">
        <f t="shared" si="2"/>
        <v>Hide</v>
      </c>
      <c r="N4" s="24">
        <f t="shared" si="2"/>
        <v>1</v>
      </c>
      <c r="O4" s="24">
        <f t="shared" ref="O4" si="3">IF(OR(O5=$B$9,O5="ALL"), 1,"Hide")</f>
        <v>1</v>
      </c>
      <c r="P4" s="24">
        <f t="shared" ref="P4" si="4">IF(OR(P5=$B$9,P5="ALL"), 1,"Hide")</f>
        <v>1</v>
      </c>
      <c r="Q4" s="24">
        <f t="shared" ref="Q4" si="5">IF(OR(Q5=$B$9,Q5="ALL"), 1,"Hide")</f>
        <v>1</v>
      </c>
      <c r="R4" s="24">
        <f t="shared" ref="R4" si="6">IF(OR(R5=$B$9,R5="ALL"), 1,"Hide")</f>
        <v>1</v>
      </c>
      <c r="S4" s="24">
        <f t="shared" ref="S4" si="7">IF(OR(S5=$B$9,S5="ALL"), 1,"Hide")</f>
        <v>1</v>
      </c>
      <c r="T4" s="24">
        <f t="shared" ref="T4" si="8">IF(OR(T5=$B$9,T5="ALL"), 1,"Hide")</f>
        <v>1</v>
      </c>
      <c r="U4" s="24">
        <f t="shared" ref="U4" si="9">IF(OR(U5=$B$9,U5="ALL"), 1,"Hide")</f>
        <v>1</v>
      </c>
      <c r="V4" s="24">
        <f t="shared" ref="V4" si="10">IF(OR(V5=$B$9,V5="ALL"), 1,"Hide")</f>
        <v>1</v>
      </c>
      <c r="W4" s="24">
        <f t="shared" ref="W4" si="11">IF(OR(W5=$B$9,W5="ALL"), 1,"Hide")</f>
        <v>1</v>
      </c>
      <c r="X4" s="24">
        <f t="shared" ref="X4:Y4" si="12">IF(OR(X5=$B$9,X5="ALL"), 1,"Hide")</f>
        <v>1</v>
      </c>
      <c r="Y4" s="24">
        <f t="shared" si="12"/>
        <v>1</v>
      </c>
      <c r="Z4" s="24" t="str">
        <f t="shared" ref="Z4" si="13">IF(OR(Z5=$B$9,Z5="ALL"), 1,"Hide")</f>
        <v>Hide</v>
      </c>
      <c r="AA4" s="24" t="str">
        <f t="shared" ref="AA4" si="14">IF(OR(AA5=$B$9,AA5="ALL"), 1,"Hide")</f>
        <v>Hide</v>
      </c>
      <c r="AB4" s="24" t="str">
        <f t="shared" ref="AB4" si="15">IF(OR(AB5=$B$9,AB5="ALL"), 1,"Hide")</f>
        <v>Hide</v>
      </c>
    </row>
    <row r="5" spans="1:28" ht="15.75" hidden="1">
      <c r="B5" s="36" t="s">
        <v>24</v>
      </c>
      <c r="C5" s="63"/>
      <c r="D5" s="63"/>
      <c r="E5" s="23" t="s">
        <v>19</v>
      </c>
      <c r="F5" s="101" t="s">
        <v>19</v>
      </c>
      <c r="G5" s="23" t="s">
        <v>19</v>
      </c>
      <c r="H5" s="23" t="s">
        <v>19</v>
      </c>
      <c r="I5" s="23" t="s">
        <v>19</v>
      </c>
      <c r="J5" s="24" t="s">
        <v>25</v>
      </c>
      <c r="K5" s="23" t="s">
        <v>25</v>
      </c>
      <c r="L5" s="23" t="s">
        <v>26</v>
      </c>
      <c r="M5" s="23" t="s">
        <v>26</v>
      </c>
      <c r="N5" s="23" t="s">
        <v>19</v>
      </c>
      <c r="O5" s="23" t="s">
        <v>19</v>
      </c>
      <c r="P5" s="23" t="s">
        <v>19</v>
      </c>
      <c r="Q5" s="23" t="s">
        <v>19</v>
      </c>
      <c r="R5" s="23" t="s">
        <v>19</v>
      </c>
      <c r="S5" s="23" t="s">
        <v>19</v>
      </c>
      <c r="T5" s="23" t="s">
        <v>19</v>
      </c>
      <c r="U5" s="23" t="s">
        <v>19</v>
      </c>
      <c r="V5" s="23" t="s">
        <v>19</v>
      </c>
      <c r="W5" s="23" t="s">
        <v>19</v>
      </c>
      <c r="X5" s="23" t="s">
        <v>25</v>
      </c>
      <c r="Y5" s="23" t="s">
        <v>25</v>
      </c>
      <c r="Z5" s="23" t="s">
        <v>22</v>
      </c>
      <c r="AA5" s="23" t="s">
        <v>22</v>
      </c>
      <c r="AB5" s="23" t="s">
        <v>22</v>
      </c>
    </row>
    <row r="6" spans="1:28" ht="15.75">
      <c r="B6" s="25"/>
      <c r="C6" s="25"/>
      <c r="D6" s="25"/>
      <c r="E6" s="24"/>
      <c r="G6" s="24"/>
      <c r="H6" s="24"/>
      <c r="I6" s="24"/>
      <c r="J6" s="24"/>
      <c r="K6" s="24"/>
      <c r="L6" s="24"/>
      <c r="M6" s="24"/>
      <c r="N6" s="24"/>
      <c r="O6" s="24"/>
      <c r="P6" s="24"/>
      <c r="Q6" s="24"/>
      <c r="R6" s="24"/>
      <c r="S6" s="24"/>
      <c r="T6" s="24"/>
      <c r="U6" s="24"/>
      <c r="V6" s="24"/>
      <c r="W6" s="24"/>
      <c r="X6" s="24"/>
      <c r="Y6" s="24"/>
    </row>
    <row r="7" spans="1:28" ht="126" customHeight="1">
      <c r="A7" s="163" t="s">
        <v>27</v>
      </c>
      <c r="B7" s="127" t="s">
        <v>27</v>
      </c>
      <c r="C7" s="127"/>
      <c r="D7" s="127"/>
      <c r="E7" s="128"/>
      <c r="F7" s="128"/>
      <c r="G7" s="128"/>
      <c r="H7" s="128"/>
      <c r="I7" s="128"/>
      <c r="J7" s="89"/>
      <c r="K7" s="38"/>
      <c r="L7" s="38"/>
      <c r="M7" s="38"/>
      <c r="N7" s="38"/>
      <c r="O7" s="38"/>
      <c r="P7" s="38"/>
      <c r="Q7" s="38"/>
      <c r="R7" s="38"/>
      <c r="S7" s="24"/>
      <c r="T7" s="24"/>
      <c r="U7" s="38"/>
      <c r="V7" s="24"/>
      <c r="W7" s="24"/>
      <c r="X7" s="24"/>
      <c r="Y7" s="24"/>
    </row>
    <row r="8" spans="1:28" ht="23.1" customHeight="1">
      <c r="B8" s="125" t="s">
        <v>28</v>
      </c>
      <c r="C8" s="125"/>
      <c r="D8" s="125"/>
      <c r="E8" s="126"/>
      <c r="F8" s="125" t="s">
        <v>29</v>
      </c>
      <c r="G8" s="126"/>
      <c r="H8" s="38"/>
      <c r="I8" s="38"/>
      <c r="J8" s="89"/>
      <c r="K8" s="38"/>
      <c r="L8" s="38"/>
      <c r="M8" s="38"/>
      <c r="N8" s="38"/>
      <c r="O8" s="38"/>
      <c r="P8" s="38"/>
      <c r="Q8" s="38"/>
      <c r="R8" s="38"/>
      <c r="S8" s="24"/>
      <c r="T8" s="24"/>
      <c r="U8" s="38"/>
      <c r="V8" s="24"/>
      <c r="W8" s="24"/>
      <c r="X8" s="24"/>
      <c r="Y8" s="24"/>
    </row>
    <row r="9" spans="1:28" s="28" customFormat="1" ht="26.1" customHeight="1">
      <c r="B9" s="124" t="s">
        <v>25</v>
      </c>
      <c r="C9" s="124"/>
      <c r="D9" s="124"/>
      <c r="E9" s="124" t="s">
        <v>26</v>
      </c>
      <c r="F9" s="124" t="s">
        <v>21</v>
      </c>
      <c r="G9" s="124"/>
      <c r="H9" s="27"/>
      <c r="I9" s="27"/>
      <c r="J9" s="24"/>
      <c r="K9" s="27"/>
      <c r="L9" s="27"/>
      <c r="M9" s="27"/>
      <c r="N9" s="27"/>
      <c r="O9" s="27"/>
      <c r="P9" s="27"/>
      <c r="Q9" s="27"/>
      <c r="R9" s="27"/>
      <c r="S9" s="27"/>
      <c r="T9" s="27"/>
      <c r="U9" s="27"/>
      <c r="V9" s="27"/>
      <c r="W9" s="27"/>
      <c r="X9" s="27"/>
      <c r="Y9" s="27"/>
    </row>
    <row r="10" spans="1:28" ht="54" customHeight="1"/>
    <row r="11" spans="1:28" ht="65.25" customHeight="1">
      <c r="B11" s="1"/>
      <c r="C11" s="1"/>
      <c r="D11" s="1"/>
      <c r="E11" s="143" t="s">
        <v>30</v>
      </c>
      <c r="F11" s="144"/>
      <c r="G11" s="144"/>
      <c r="H11" s="144"/>
      <c r="I11" s="144"/>
      <c r="J11" s="144"/>
      <c r="K11" s="144"/>
      <c r="L11" s="144"/>
      <c r="M11" s="144"/>
      <c r="N11" s="144"/>
      <c r="O11" s="144"/>
      <c r="P11" s="145"/>
      <c r="Q11" s="2"/>
      <c r="R11" s="129" t="s">
        <v>31</v>
      </c>
      <c r="S11" s="131" t="s">
        <v>32</v>
      </c>
      <c r="T11" s="132"/>
      <c r="U11" s="146" t="s">
        <v>33</v>
      </c>
      <c r="V11" s="44" t="s">
        <v>34</v>
      </c>
      <c r="W11" s="45" t="s">
        <v>35</v>
      </c>
      <c r="X11" s="135" t="s">
        <v>36</v>
      </c>
      <c r="Y11" s="136"/>
    </row>
    <row r="12" spans="1:28">
      <c r="B12" s="1"/>
      <c r="C12" s="1"/>
      <c r="D12" s="1"/>
      <c r="E12" s="137"/>
      <c r="F12" s="138"/>
      <c r="G12" s="138"/>
      <c r="H12" s="138"/>
      <c r="I12" s="139"/>
      <c r="J12" s="137" t="s">
        <v>37</v>
      </c>
      <c r="K12" s="140"/>
      <c r="L12" s="141" t="s">
        <v>38</v>
      </c>
      <c r="M12" s="142"/>
      <c r="N12" s="137"/>
      <c r="O12" s="148"/>
      <c r="P12" s="149"/>
      <c r="Q12" s="3"/>
      <c r="R12" s="130"/>
      <c r="S12" s="133"/>
      <c r="T12" s="134"/>
      <c r="U12" s="147"/>
      <c r="V12" s="37" t="s">
        <v>39</v>
      </c>
      <c r="W12" s="40" t="s">
        <v>40</v>
      </c>
      <c r="X12" s="136"/>
      <c r="Y12" s="136"/>
    </row>
    <row r="13" spans="1:28" ht="30">
      <c r="B13" s="4"/>
      <c r="E13" s="5" t="s">
        <v>41</v>
      </c>
      <c r="F13" s="102" t="s">
        <v>42</v>
      </c>
      <c r="G13" s="5" t="s">
        <v>43</v>
      </c>
      <c r="H13" s="5" t="s">
        <v>44</v>
      </c>
      <c r="I13" s="84" t="s">
        <v>45</v>
      </c>
      <c r="J13" s="4" t="s">
        <v>46</v>
      </c>
      <c r="K13" s="86" t="s">
        <v>47</v>
      </c>
      <c r="L13" s="5" t="s">
        <v>46</v>
      </c>
      <c r="M13" s="5" t="s">
        <v>47</v>
      </c>
      <c r="N13" s="5" t="s">
        <v>48</v>
      </c>
      <c r="O13" s="6" t="s">
        <v>49</v>
      </c>
      <c r="P13" s="5" t="s">
        <v>50</v>
      </c>
      <c r="Q13" s="5" t="s">
        <v>51</v>
      </c>
      <c r="R13" s="7" t="s">
        <v>52</v>
      </c>
      <c r="S13" s="5" t="s">
        <v>53</v>
      </c>
      <c r="T13" s="5" t="s">
        <v>54</v>
      </c>
      <c r="U13" s="39" t="s">
        <v>55</v>
      </c>
      <c r="V13" s="5" t="s">
        <v>56</v>
      </c>
      <c r="W13" s="39" t="s">
        <v>57</v>
      </c>
      <c r="X13" s="42" t="s">
        <v>58</v>
      </c>
      <c r="Y13" s="43" t="s">
        <v>59</v>
      </c>
    </row>
    <row r="14" spans="1:28" ht="255" customHeight="1">
      <c r="B14" s="8" t="s">
        <v>60</v>
      </c>
      <c r="C14" s="90" t="s">
        <v>61</v>
      </c>
      <c r="D14" s="14" t="s">
        <v>62</v>
      </c>
      <c r="E14" s="9" t="s">
        <v>63</v>
      </c>
      <c r="F14" s="103" t="s">
        <v>64</v>
      </c>
      <c r="G14" s="11" t="s">
        <v>65</v>
      </c>
      <c r="H14" s="9" t="s">
        <v>66</v>
      </c>
      <c r="I14" s="85" t="s">
        <v>67</v>
      </c>
      <c r="J14" s="98" t="s">
        <v>68</v>
      </c>
      <c r="K14" s="87" t="s">
        <v>69</v>
      </c>
      <c r="L14" s="10" t="s">
        <v>70</v>
      </c>
      <c r="M14" s="10" t="s">
        <v>71</v>
      </c>
      <c r="N14" s="9" t="s">
        <v>72</v>
      </c>
      <c r="O14" s="10" t="s">
        <v>73</v>
      </c>
      <c r="P14" s="10" t="s">
        <v>74</v>
      </c>
      <c r="Q14" s="10" t="s">
        <v>75</v>
      </c>
      <c r="R14" s="12" t="s">
        <v>76</v>
      </c>
      <c r="S14" s="12" t="s">
        <v>77</v>
      </c>
      <c r="T14" s="12" t="s">
        <v>78</v>
      </c>
      <c r="U14" s="10" t="s">
        <v>79</v>
      </c>
      <c r="V14" s="10" t="s">
        <v>80</v>
      </c>
      <c r="W14" s="10" t="s">
        <v>81</v>
      </c>
      <c r="X14" s="41" t="s">
        <v>82</v>
      </c>
      <c r="Y14" s="41" t="s">
        <v>83</v>
      </c>
    </row>
    <row r="15" spans="1:28">
      <c r="B15" s="50"/>
      <c r="C15" s="50" t="s">
        <v>84</v>
      </c>
      <c r="D15" s="68" t="s">
        <v>85</v>
      </c>
      <c r="E15" s="50" t="s">
        <v>86</v>
      </c>
      <c r="F15" s="100" t="s">
        <v>87</v>
      </c>
      <c r="G15" t="s">
        <v>88</v>
      </c>
      <c r="H15" t="s">
        <v>89</v>
      </c>
      <c r="I15" t="s">
        <v>90</v>
      </c>
      <c r="J15" s="67" t="s">
        <v>91</v>
      </c>
      <c r="K15" t="s">
        <v>92</v>
      </c>
      <c r="M15" s="50"/>
      <c r="N15" s="91" t="s">
        <v>93</v>
      </c>
      <c r="V15" s="13"/>
    </row>
    <row r="16" spans="1:28">
      <c r="B16" s="50"/>
      <c r="C16" s="50" t="s">
        <v>94</v>
      </c>
      <c r="D16" s="68" t="s">
        <v>95</v>
      </c>
      <c r="E16" s="68" t="s">
        <v>96</v>
      </c>
      <c r="F16" s="100" t="s">
        <v>87</v>
      </c>
      <c r="G16" t="s">
        <v>97</v>
      </c>
      <c r="H16" t="s">
        <v>89</v>
      </c>
      <c r="I16" t="s">
        <v>90</v>
      </c>
      <c r="J16" s="67" t="s">
        <v>91</v>
      </c>
      <c r="K16" t="s">
        <v>92</v>
      </c>
      <c r="M16" s="50"/>
      <c r="N16" s="92" t="s">
        <v>98</v>
      </c>
      <c r="V16" s="13"/>
    </row>
    <row r="17" spans="2:22" ht="24.95" customHeight="1">
      <c r="B17" s="50"/>
      <c r="C17" s="50" t="s">
        <v>99</v>
      </c>
      <c r="D17" s="68" t="s">
        <v>100</v>
      </c>
      <c r="E17" s="68" t="s">
        <v>101</v>
      </c>
      <c r="F17" s="100" t="s">
        <v>87</v>
      </c>
      <c r="G17" t="s">
        <v>102</v>
      </c>
      <c r="H17" t="s">
        <v>89</v>
      </c>
      <c r="I17" t="s">
        <v>90</v>
      </c>
      <c r="J17" s="67" t="s">
        <v>91</v>
      </c>
      <c r="K17" t="s">
        <v>92</v>
      </c>
      <c r="M17" s="50"/>
      <c r="N17" s="92" t="s">
        <v>103</v>
      </c>
      <c r="S17">
        <v>0</v>
      </c>
      <c r="T17">
        <v>4</v>
      </c>
      <c r="U17">
        <v>4</v>
      </c>
      <c r="V17" s="13"/>
    </row>
    <row r="18" spans="2:22">
      <c r="B18" s="50"/>
      <c r="C18" s="50" t="s">
        <v>104</v>
      </c>
      <c r="D18" s="68" t="s">
        <v>105</v>
      </c>
      <c r="E18" s="50" t="s">
        <v>106</v>
      </c>
      <c r="F18" s="100" t="s">
        <v>87</v>
      </c>
      <c r="G18" t="s">
        <v>88</v>
      </c>
      <c r="H18" t="s">
        <v>89</v>
      </c>
      <c r="I18" t="s">
        <v>90</v>
      </c>
      <c r="J18" s="67" t="s">
        <v>91</v>
      </c>
      <c r="K18" t="s">
        <v>107</v>
      </c>
      <c r="M18" s="50"/>
      <c r="N18" s="91" t="s">
        <v>108</v>
      </c>
      <c r="V18" s="13"/>
    </row>
    <row r="19" spans="2:22">
      <c r="B19" s="50"/>
      <c r="C19" s="50" t="s">
        <v>109</v>
      </c>
      <c r="D19" s="68" t="s">
        <v>110</v>
      </c>
      <c r="E19" s="50" t="s">
        <v>111</v>
      </c>
      <c r="F19" s="100" t="s">
        <v>87</v>
      </c>
      <c r="G19" t="s">
        <v>88</v>
      </c>
      <c r="H19" t="s">
        <v>89</v>
      </c>
      <c r="I19" t="s">
        <v>90</v>
      </c>
      <c r="J19" s="64" t="s">
        <v>91</v>
      </c>
      <c r="K19" t="s">
        <v>107</v>
      </c>
      <c r="M19" s="50"/>
      <c r="N19" s="93" t="s">
        <v>112</v>
      </c>
      <c r="V19" s="13"/>
    </row>
    <row r="20" spans="2:22">
      <c r="B20" s="50"/>
      <c r="C20" s="50" t="s">
        <v>113</v>
      </c>
      <c r="D20" s="68" t="s">
        <v>114</v>
      </c>
      <c r="E20" s="50" t="s">
        <v>115</v>
      </c>
      <c r="F20" s="100" t="s">
        <v>87</v>
      </c>
      <c r="G20" t="s">
        <v>88</v>
      </c>
      <c r="H20" t="s">
        <v>89</v>
      </c>
      <c r="I20" t="s">
        <v>90</v>
      </c>
      <c r="J20" s="64" t="s">
        <v>91</v>
      </c>
      <c r="K20" t="s">
        <v>107</v>
      </c>
      <c r="M20" s="50"/>
      <c r="N20" s="91" t="s">
        <v>116</v>
      </c>
      <c r="V20" s="13"/>
    </row>
    <row r="21" spans="2:22">
      <c r="B21" s="50"/>
      <c r="C21" s="50" t="s">
        <v>117</v>
      </c>
      <c r="D21" s="68" t="s">
        <v>118</v>
      </c>
      <c r="E21" s="50" t="s">
        <v>119</v>
      </c>
      <c r="F21" s="100" t="s">
        <v>87</v>
      </c>
      <c r="G21" t="s">
        <v>88</v>
      </c>
      <c r="H21" t="s">
        <v>89</v>
      </c>
      <c r="I21" t="s">
        <v>90</v>
      </c>
      <c r="J21" s="64" t="s">
        <v>91</v>
      </c>
      <c r="K21" t="s">
        <v>107</v>
      </c>
      <c r="M21" s="50"/>
      <c r="N21" s="93" t="s">
        <v>120</v>
      </c>
      <c r="V21" s="13"/>
    </row>
    <row r="22" spans="2:22">
      <c r="B22" s="50"/>
      <c r="C22" s="50" t="s">
        <v>121</v>
      </c>
      <c r="D22" s="68" t="s">
        <v>122</v>
      </c>
      <c r="E22" s="50" t="s">
        <v>123</v>
      </c>
      <c r="F22" s="100" t="s">
        <v>87</v>
      </c>
      <c r="G22" t="s">
        <v>88</v>
      </c>
      <c r="H22" t="s">
        <v>89</v>
      </c>
      <c r="I22" t="s">
        <v>90</v>
      </c>
      <c r="J22" s="64" t="s">
        <v>91</v>
      </c>
      <c r="K22" t="s">
        <v>107</v>
      </c>
      <c r="M22" s="50"/>
      <c r="N22" s="91" t="s">
        <v>124</v>
      </c>
      <c r="V22" s="13"/>
    </row>
    <row r="23" spans="2:22">
      <c r="B23" s="50"/>
      <c r="C23" s="50" t="s">
        <v>125</v>
      </c>
      <c r="D23" s="68" t="s">
        <v>126</v>
      </c>
      <c r="E23" s="50" t="s">
        <v>127</v>
      </c>
      <c r="F23" s="100" t="s">
        <v>87</v>
      </c>
      <c r="G23" t="s">
        <v>102</v>
      </c>
      <c r="H23" t="s">
        <v>89</v>
      </c>
      <c r="I23" t="s">
        <v>90</v>
      </c>
      <c r="J23" s="64" t="s">
        <v>91</v>
      </c>
      <c r="K23" t="s">
        <v>107</v>
      </c>
      <c r="M23" s="50"/>
      <c r="N23" s="93" t="s">
        <v>128</v>
      </c>
      <c r="S23">
        <v>0</v>
      </c>
      <c r="T23">
        <v>10</v>
      </c>
      <c r="U23">
        <v>10</v>
      </c>
      <c r="V23" s="13"/>
    </row>
    <row r="24" spans="2:22" ht="30">
      <c r="B24" s="50"/>
      <c r="C24" s="50" t="s">
        <v>129</v>
      </c>
      <c r="D24" s="68" t="s">
        <v>130</v>
      </c>
      <c r="E24" s="50" t="s">
        <v>131</v>
      </c>
      <c r="F24" s="100" t="s">
        <v>87</v>
      </c>
      <c r="G24" t="s">
        <v>102</v>
      </c>
      <c r="H24" t="s">
        <v>89</v>
      </c>
      <c r="I24" t="s">
        <v>90</v>
      </c>
      <c r="J24" s="64" t="s">
        <v>91</v>
      </c>
      <c r="K24" t="s">
        <v>132</v>
      </c>
      <c r="M24" s="50"/>
      <c r="N24" s="93" t="s">
        <v>133</v>
      </c>
      <c r="S24">
        <v>0</v>
      </c>
      <c r="T24">
        <v>10</v>
      </c>
      <c r="U24">
        <v>10</v>
      </c>
      <c r="V24" s="13"/>
    </row>
    <row r="25" spans="2:22">
      <c r="B25" s="50"/>
      <c r="C25" s="50" t="s">
        <v>134</v>
      </c>
      <c r="D25" s="68" t="s">
        <v>135</v>
      </c>
      <c r="E25" s="50" t="s">
        <v>136</v>
      </c>
      <c r="F25" s="100" t="s">
        <v>87</v>
      </c>
      <c r="G25" t="s">
        <v>102</v>
      </c>
      <c r="H25" t="s">
        <v>89</v>
      </c>
      <c r="I25" t="s">
        <v>90</v>
      </c>
      <c r="J25" s="64" t="s">
        <v>91</v>
      </c>
      <c r="K25" t="s">
        <v>132</v>
      </c>
      <c r="M25" s="50"/>
      <c r="N25" s="13" t="s">
        <v>137</v>
      </c>
      <c r="S25">
        <v>0</v>
      </c>
      <c r="T25">
        <v>10</v>
      </c>
      <c r="U25">
        <v>10</v>
      </c>
      <c r="V25" s="13"/>
    </row>
    <row r="26" spans="2:22" ht="29.1" customHeight="1">
      <c r="B26" s="50"/>
      <c r="C26" s="50" t="s">
        <v>138</v>
      </c>
      <c r="D26" s="68" t="s">
        <v>139</v>
      </c>
      <c r="E26" s="50" t="s">
        <v>140</v>
      </c>
      <c r="F26" s="100" t="s">
        <v>87</v>
      </c>
      <c r="G26" t="s">
        <v>102</v>
      </c>
      <c r="H26" t="s">
        <v>89</v>
      </c>
      <c r="I26" t="s">
        <v>90</v>
      </c>
      <c r="J26" s="64" t="s">
        <v>91</v>
      </c>
      <c r="K26" t="s">
        <v>132</v>
      </c>
      <c r="M26" s="50"/>
      <c r="N26" s="93" t="s">
        <v>141</v>
      </c>
      <c r="S26">
        <v>0</v>
      </c>
      <c r="T26">
        <v>7</v>
      </c>
      <c r="U26">
        <v>7</v>
      </c>
      <c r="V26" s="13"/>
    </row>
    <row r="27" spans="2:22">
      <c r="B27" s="50"/>
      <c r="C27" s="50" t="s">
        <v>142</v>
      </c>
      <c r="D27" s="68" t="s">
        <v>143</v>
      </c>
      <c r="E27" s="50" t="s">
        <v>144</v>
      </c>
      <c r="F27" s="100" t="s">
        <v>87</v>
      </c>
      <c r="G27" t="s">
        <v>102</v>
      </c>
      <c r="H27" t="s">
        <v>89</v>
      </c>
      <c r="I27" t="s">
        <v>90</v>
      </c>
      <c r="J27" s="64" t="s">
        <v>91</v>
      </c>
      <c r="K27" t="s">
        <v>132</v>
      </c>
      <c r="M27" s="50"/>
      <c r="N27" s="93" t="s">
        <v>145</v>
      </c>
      <c r="S27">
        <v>0</v>
      </c>
      <c r="T27">
        <v>7</v>
      </c>
      <c r="U27">
        <v>7</v>
      </c>
      <c r="V27" s="13"/>
    </row>
    <row r="28" spans="2:22">
      <c r="B28" s="50"/>
      <c r="C28" s="50" t="s">
        <v>146</v>
      </c>
      <c r="D28" s="68" t="s">
        <v>147</v>
      </c>
      <c r="E28" s="50" t="s">
        <v>148</v>
      </c>
      <c r="F28" s="100" t="s">
        <v>87</v>
      </c>
      <c r="G28" t="s">
        <v>149</v>
      </c>
      <c r="H28" t="s">
        <v>89</v>
      </c>
      <c r="I28" t="s">
        <v>90</v>
      </c>
      <c r="J28" s="64" t="s">
        <v>150</v>
      </c>
      <c r="K28" t="s">
        <v>151</v>
      </c>
      <c r="M28" s="50"/>
      <c r="N28" s="93" t="s">
        <v>152</v>
      </c>
      <c r="R28">
        <v>0</v>
      </c>
      <c r="S28">
        <v>0</v>
      </c>
      <c r="T28">
        <v>11</v>
      </c>
      <c r="U28">
        <v>11</v>
      </c>
      <c r="V28" s="13"/>
    </row>
    <row r="29" spans="2:22">
      <c r="B29" s="50"/>
      <c r="C29" s="50" t="s">
        <v>153</v>
      </c>
      <c r="D29" s="68" t="s">
        <v>154</v>
      </c>
      <c r="E29" s="50" t="s">
        <v>155</v>
      </c>
      <c r="F29" s="100" t="s">
        <v>87</v>
      </c>
      <c r="G29" t="s">
        <v>149</v>
      </c>
      <c r="H29" t="s">
        <v>89</v>
      </c>
      <c r="I29" t="s">
        <v>90</v>
      </c>
      <c r="J29" s="64" t="s">
        <v>150</v>
      </c>
      <c r="K29" t="s">
        <v>151</v>
      </c>
      <c r="M29" s="50"/>
      <c r="N29" s="93" t="s">
        <v>156</v>
      </c>
      <c r="R29">
        <v>0</v>
      </c>
      <c r="S29">
        <v>0</v>
      </c>
      <c r="T29">
        <v>11</v>
      </c>
      <c r="U29">
        <v>11</v>
      </c>
      <c r="V29" s="13"/>
    </row>
    <row r="30" spans="2:22" ht="30">
      <c r="B30" s="50"/>
      <c r="C30" s="50" t="s">
        <v>157</v>
      </c>
      <c r="D30" s="68" t="s">
        <v>158</v>
      </c>
      <c r="E30" s="50" t="s">
        <v>159</v>
      </c>
      <c r="F30" s="100" t="s">
        <v>87</v>
      </c>
      <c r="G30" t="s">
        <v>102</v>
      </c>
      <c r="H30" t="s">
        <v>89</v>
      </c>
      <c r="I30" t="s">
        <v>90</v>
      </c>
      <c r="J30" s="64" t="s">
        <v>150</v>
      </c>
      <c r="K30" t="s">
        <v>151</v>
      </c>
      <c r="M30" s="50"/>
      <c r="N30" s="93" t="s">
        <v>160</v>
      </c>
      <c r="S30">
        <v>0</v>
      </c>
      <c r="T30">
        <v>3</v>
      </c>
      <c r="U30">
        <v>3</v>
      </c>
      <c r="V30" s="13"/>
    </row>
    <row r="31" spans="2:22" ht="30">
      <c r="B31" s="50"/>
      <c r="C31" s="50" t="s">
        <v>161</v>
      </c>
      <c r="D31" s="68" t="s">
        <v>162</v>
      </c>
      <c r="E31" s="50" t="s">
        <v>163</v>
      </c>
      <c r="F31" s="100" t="s">
        <v>87</v>
      </c>
      <c r="G31" t="s">
        <v>102</v>
      </c>
      <c r="H31" t="s">
        <v>89</v>
      </c>
      <c r="I31" t="s">
        <v>90</v>
      </c>
      <c r="J31" s="64" t="s">
        <v>150</v>
      </c>
      <c r="K31" t="s">
        <v>151</v>
      </c>
      <c r="M31" s="50"/>
      <c r="N31" s="94" t="s">
        <v>164</v>
      </c>
      <c r="S31">
        <v>0</v>
      </c>
      <c r="T31">
        <v>3</v>
      </c>
      <c r="U31">
        <v>3</v>
      </c>
      <c r="V31" s="13"/>
    </row>
    <row r="32" spans="2:22" ht="30">
      <c r="B32" s="50"/>
      <c r="C32" s="50" t="s">
        <v>165</v>
      </c>
      <c r="D32" s="68" t="s">
        <v>166</v>
      </c>
      <c r="E32" s="50" t="s">
        <v>167</v>
      </c>
      <c r="F32" s="100" t="s">
        <v>87</v>
      </c>
      <c r="G32" t="s">
        <v>102</v>
      </c>
      <c r="H32" t="s">
        <v>89</v>
      </c>
      <c r="I32" t="s">
        <v>90</v>
      </c>
      <c r="J32" s="64" t="s">
        <v>150</v>
      </c>
      <c r="K32" t="s">
        <v>168</v>
      </c>
      <c r="M32" s="50"/>
      <c r="N32" s="94" t="s">
        <v>164</v>
      </c>
      <c r="S32">
        <v>0</v>
      </c>
      <c r="T32">
        <v>3</v>
      </c>
      <c r="U32">
        <v>3</v>
      </c>
      <c r="V32" s="13"/>
    </row>
    <row r="33" spans="2:22" ht="30">
      <c r="B33" s="50"/>
      <c r="C33" s="50" t="s">
        <v>169</v>
      </c>
      <c r="D33" s="68" t="s">
        <v>170</v>
      </c>
      <c r="E33" s="50" t="s">
        <v>171</v>
      </c>
      <c r="F33" s="100" t="s">
        <v>87</v>
      </c>
      <c r="G33" t="s">
        <v>102</v>
      </c>
      <c r="H33" t="s">
        <v>89</v>
      </c>
      <c r="I33" t="s">
        <v>90</v>
      </c>
      <c r="J33" s="64" t="s">
        <v>150</v>
      </c>
      <c r="K33" s="13" t="s">
        <v>172</v>
      </c>
      <c r="M33" s="50"/>
      <c r="N33" s="94" t="s">
        <v>164</v>
      </c>
      <c r="S33">
        <v>0</v>
      </c>
      <c r="T33">
        <v>3</v>
      </c>
      <c r="U33">
        <v>3</v>
      </c>
      <c r="V33" s="13"/>
    </row>
    <row r="34" spans="2:22" ht="30">
      <c r="B34" s="50"/>
      <c r="C34" s="50" t="s">
        <v>173</v>
      </c>
      <c r="D34" s="68" t="s">
        <v>174</v>
      </c>
      <c r="E34" s="50" t="s">
        <v>175</v>
      </c>
      <c r="F34" s="100" t="s">
        <v>87</v>
      </c>
      <c r="G34" t="s">
        <v>102</v>
      </c>
      <c r="H34" t="s">
        <v>89</v>
      </c>
      <c r="I34" t="s">
        <v>90</v>
      </c>
      <c r="J34" s="64" t="s">
        <v>150</v>
      </c>
      <c r="K34" t="s">
        <v>168</v>
      </c>
      <c r="M34" s="50"/>
      <c r="N34" s="94" t="s">
        <v>164</v>
      </c>
      <c r="S34">
        <v>0</v>
      </c>
      <c r="T34">
        <v>3</v>
      </c>
      <c r="U34">
        <v>3</v>
      </c>
      <c r="V34" s="13"/>
    </row>
    <row r="35" spans="2:22" ht="30">
      <c r="B35" s="50"/>
      <c r="C35" s="50" t="s">
        <v>176</v>
      </c>
      <c r="D35" s="68" t="s">
        <v>177</v>
      </c>
      <c r="E35" s="50" t="s">
        <v>178</v>
      </c>
      <c r="F35" s="100" t="s">
        <v>87</v>
      </c>
      <c r="G35" t="s">
        <v>102</v>
      </c>
      <c r="H35" t="s">
        <v>89</v>
      </c>
      <c r="I35" t="s">
        <v>90</v>
      </c>
      <c r="J35" s="64" t="s">
        <v>150</v>
      </c>
      <c r="K35" t="s">
        <v>168</v>
      </c>
      <c r="M35" s="50"/>
      <c r="N35" s="93" t="s">
        <v>179</v>
      </c>
      <c r="S35">
        <v>0</v>
      </c>
      <c r="T35">
        <v>3</v>
      </c>
      <c r="U35">
        <v>3</v>
      </c>
      <c r="V35" s="13"/>
    </row>
    <row r="36" spans="2:22">
      <c r="B36" s="50"/>
      <c r="C36" s="50" t="s">
        <v>180</v>
      </c>
      <c r="D36" s="68" t="s">
        <v>181</v>
      </c>
      <c r="E36" s="50" t="s">
        <v>182</v>
      </c>
      <c r="F36" s="100" t="s">
        <v>87</v>
      </c>
      <c r="G36" t="s">
        <v>102</v>
      </c>
      <c r="H36" t="s">
        <v>89</v>
      </c>
      <c r="I36" t="s">
        <v>90</v>
      </c>
      <c r="J36" s="64" t="s">
        <v>150</v>
      </c>
      <c r="K36" t="s">
        <v>151</v>
      </c>
      <c r="M36" s="50"/>
      <c r="N36" s="93" t="s">
        <v>183</v>
      </c>
      <c r="S36">
        <v>0</v>
      </c>
      <c r="T36">
        <v>3</v>
      </c>
      <c r="U36">
        <v>3</v>
      </c>
      <c r="V36" s="13"/>
    </row>
    <row r="37" spans="2:22" ht="30">
      <c r="B37" s="50"/>
      <c r="C37" s="68" t="s">
        <v>184</v>
      </c>
      <c r="D37" s="68" t="s">
        <v>185</v>
      </c>
      <c r="E37" s="50" t="s">
        <v>186</v>
      </c>
      <c r="F37" s="100" t="s">
        <v>87</v>
      </c>
      <c r="G37" t="s">
        <v>187</v>
      </c>
      <c r="H37" t="s">
        <v>89</v>
      </c>
      <c r="I37" t="s">
        <v>90</v>
      </c>
      <c r="J37" s="67" t="s">
        <v>188</v>
      </c>
      <c r="K37" t="s">
        <v>189</v>
      </c>
      <c r="M37" s="68"/>
      <c r="N37" s="93" t="s">
        <v>190</v>
      </c>
      <c r="V37" s="13"/>
    </row>
    <row r="38" spans="2:22" ht="30">
      <c r="B38" s="50"/>
      <c r="C38" s="68" t="s">
        <v>191</v>
      </c>
      <c r="D38" s="50" t="s">
        <v>192</v>
      </c>
      <c r="E38" s="50" t="s">
        <v>193</v>
      </c>
      <c r="F38" s="100" t="s">
        <v>87</v>
      </c>
      <c r="G38" t="s">
        <v>187</v>
      </c>
      <c r="H38" t="s">
        <v>89</v>
      </c>
      <c r="I38" t="s">
        <v>90</v>
      </c>
      <c r="J38" s="67" t="s">
        <v>188</v>
      </c>
      <c r="K38" t="s">
        <v>132</v>
      </c>
      <c r="M38" s="68"/>
      <c r="N38" s="93" t="s">
        <v>194</v>
      </c>
      <c r="V38" s="13"/>
    </row>
    <row r="39" spans="2:22">
      <c r="B39" s="50"/>
      <c r="C39" s="68" t="s">
        <v>195</v>
      </c>
      <c r="D39" s="68" t="s">
        <v>196</v>
      </c>
      <c r="E39" s="50" t="s">
        <v>197</v>
      </c>
      <c r="F39" s="100" t="s">
        <v>87</v>
      </c>
      <c r="G39" t="s">
        <v>88</v>
      </c>
      <c r="H39" t="s">
        <v>89</v>
      </c>
      <c r="I39" t="s">
        <v>90</v>
      </c>
      <c r="J39" s="64" t="s">
        <v>198</v>
      </c>
      <c r="K39" t="s">
        <v>199</v>
      </c>
      <c r="M39" s="68"/>
      <c r="N39" s="93" t="s">
        <v>200</v>
      </c>
      <c r="V39" s="13"/>
    </row>
    <row r="40" spans="2:22">
      <c r="B40" s="50"/>
      <c r="C40" s="68" t="s">
        <v>201</v>
      </c>
      <c r="D40" s="68" t="s">
        <v>202</v>
      </c>
      <c r="E40" s="50" t="s">
        <v>203</v>
      </c>
      <c r="F40" s="100" t="s">
        <v>87</v>
      </c>
      <c r="G40" t="s">
        <v>88</v>
      </c>
      <c r="H40" t="s">
        <v>89</v>
      </c>
      <c r="I40" t="s">
        <v>90</v>
      </c>
      <c r="J40" s="64" t="s">
        <v>204</v>
      </c>
      <c r="K40" t="s">
        <v>168</v>
      </c>
      <c r="M40" s="68"/>
      <c r="N40" s="93" t="s">
        <v>205</v>
      </c>
      <c r="V40" s="13"/>
    </row>
    <row r="41" spans="2:22">
      <c r="B41" s="50"/>
      <c r="C41" s="68" t="s">
        <v>206</v>
      </c>
      <c r="D41" s="50" t="s">
        <v>207</v>
      </c>
      <c r="E41" s="50" t="s">
        <v>208</v>
      </c>
      <c r="F41" s="100" t="s">
        <v>87</v>
      </c>
      <c r="G41" t="s">
        <v>187</v>
      </c>
      <c r="H41" t="s">
        <v>89</v>
      </c>
      <c r="I41" t="s">
        <v>90</v>
      </c>
      <c r="J41" s="64" t="s">
        <v>204</v>
      </c>
      <c r="K41" t="s">
        <v>168</v>
      </c>
      <c r="M41" s="68"/>
      <c r="N41" s="13" t="s">
        <v>209</v>
      </c>
      <c r="V41" s="13"/>
    </row>
    <row r="42" spans="2:22" ht="90">
      <c r="B42" s="50"/>
      <c r="C42" s="68" t="s">
        <v>210</v>
      </c>
      <c r="D42" s="68" t="s">
        <v>211</v>
      </c>
      <c r="E42" s="50" t="s">
        <v>212</v>
      </c>
      <c r="F42" s="100" t="s">
        <v>87</v>
      </c>
      <c r="G42" t="s">
        <v>213</v>
      </c>
      <c r="H42" t="s">
        <v>89</v>
      </c>
      <c r="I42" t="s">
        <v>90</v>
      </c>
      <c r="J42" s="64" t="s">
        <v>91</v>
      </c>
      <c r="K42" t="s">
        <v>168</v>
      </c>
      <c r="M42" s="68"/>
      <c r="N42" s="93" t="s">
        <v>214</v>
      </c>
      <c r="U42">
        <v>30</v>
      </c>
      <c r="V42" s="13" t="s">
        <v>215</v>
      </c>
    </row>
    <row r="43" spans="2:22">
      <c r="B43" s="50"/>
      <c r="C43" s="68" t="s">
        <v>216</v>
      </c>
      <c r="D43" s="68" t="s">
        <v>217</v>
      </c>
      <c r="E43" s="50" t="s">
        <v>218</v>
      </c>
      <c r="F43" s="100" t="s">
        <v>87</v>
      </c>
      <c r="G43" t="s">
        <v>88</v>
      </c>
      <c r="H43" t="s">
        <v>89</v>
      </c>
      <c r="I43" t="s">
        <v>90</v>
      </c>
      <c r="J43" s="64" t="s">
        <v>198</v>
      </c>
      <c r="K43" t="s">
        <v>168</v>
      </c>
      <c r="M43" s="68"/>
      <c r="N43" s="93" t="s">
        <v>219</v>
      </c>
      <c r="V43" s="13"/>
    </row>
    <row r="44" spans="2:22">
      <c r="B44" s="50"/>
      <c r="C44" s="50" t="s">
        <v>220</v>
      </c>
      <c r="D44" s="68" t="s">
        <v>221</v>
      </c>
      <c r="E44" s="50" t="s">
        <v>222</v>
      </c>
      <c r="F44" s="100" t="s">
        <v>87</v>
      </c>
      <c r="G44" t="s">
        <v>88</v>
      </c>
      <c r="H44" t="s">
        <v>89</v>
      </c>
      <c r="I44" t="s">
        <v>90</v>
      </c>
      <c r="J44" s="64" t="s">
        <v>198</v>
      </c>
      <c r="K44" t="s">
        <v>132</v>
      </c>
      <c r="M44" s="50"/>
      <c r="N44" s="93" t="s">
        <v>223</v>
      </c>
      <c r="V44" s="13"/>
    </row>
    <row r="45" spans="2:22">
      <c r="B45" s="50"/>
      <c r="C45" s="50" t="s">
        <v>224</v>
      </c>
      <c r="D45" s="68" t="s">
        <v>225</v>
      </c>
      <c r="E45" s="50" t="s">
        <v>226</v>
      </c>
      <c r="F45" s="100" t="s">
        <v>87</v>
      </c>
      <c r="G45" t="s">
        <v>102</v>
      </c>
      <c r="H45" t="s">
        <v>89</v>
      </c>
      <c r="I45" t="s">
        <v>90</v>
      </c>
      <c r="J45" s="64" t="s">
        <v>198</v>
      </c>
      <c r="K45" t="s">
        <v>132</v>
      </c>
      <c r="M45" s="50"/>
      <c r="N45" s="93" t="s">
        <v>227</v>
      </c>
      <c r="S45">
        <v>0</v>
      </c>
      <c r="T45">
        <v>3</v>
      </c>
      <c r="U45">
        <v>3</v>
      </c>
      <c r="V45" s="13"/>
    </row>
    <row r="46" spans="2:22" ht="16.5" customHeight="1">
      <c r="B46" s="50"/>
      <c r="C46" s="50" t="s">
        <v>228</v>
      </c>
      <c r="D46" s="68" t="s">
        <v>229</v>
      </c>
      <c r="E46" s="50" t="s">
        <v>230</v>
      </c>
      <c r="F46" s="100" t="s">
        <v>87</v>
      </c>
      <c r="G46" t="s">
        <v>102</v>
      </c>
      <c r="H46" t="s">
        <v>89</v>
      </c>
      <c r="I46" t="s">
        <v>90</v>
      </c>
      <c r="J46" s="64" t="s">
        <v>198</v>
      </c>
      <c r="K46" t="s">
        <v>132</v>
      </c>
      <c r="M46" s="50"/>
      <c r="N46" s="93" t="s">
        <v>231</v>
      </c>
      <c r="S46">
        <v>0</v>
      </c>
      <c r="T46">
        <v>3</v>
      </c>
      <c r="U46">
        <v>3</v>
      </c>
      <c r="V46" s="13"/>
    </row>
    <row r="47" spans="2:22">
      <c r="B47" s="50"/>
      <c r="C47" s="50" t="s">
        <v>232</v>
      </c>
      <c r="D47" s="68" t="s">
        <v>233</v>
      </c>
      <c r="E47" s="50" t="s">
        <v>234</v>
      </c>
      <c r="F47" s="100" t="s">
        <v>87</v>
      </c>
      <c r="G47" t="s">
        <v>102</v>
      </c>
      <c r="H47" t="s">
        <v>89</v>
      </c>
      <c r="I47" t="s">
        <v>90</v>
      </c>
      <c r="J47" s="64" t="s">
        <v>198</v>
      </c>
      <c r="K47" t="s">
        <v>132</v>
      </c>
      <c r="M47" s="50"/>
      <c r="N47" s="93" t="s">
        <v>235</v>
      </c>
      <c r="S47">
        <v>0</v>
      </c>
      <c r="T47">
        <v>3</v>
      </c>
      <c r="U47">
        <v>3</v>
      </c>
      <c r="V47" s="13"/>
    </row>
    <row r="48" spans="2:22">
      <c r="B48" s="50"/>
      <c r="C48" s="50" t="s">
        <v>236</v>
      </c>
      <c r="D48" s="68" t="s">
        <v>237</v>
      </c>
      <c r="E48" s="50" t="s">
        <v>238</v>
      </c>
      <c r="F48" s="100" t="s">
        <v>87</v>
      </c>
      <c r="G48" t="s">
        <v>102</v>
      </c>
      <c r="H48" t="s">
        <v>89</v>
      </c>
      <c r="I48" t="s">
        <v>90</v>
      </c>
      <c r="J48" s="64" t="s">
        <v>198</v>
      </c>
      <c r="K48" t="s">
        <v>132</v>
      </c>
      <c r="M48" s="50"/>
      <c r="N48" s="93" t="s">
        <v>239</v>
      </c>
      <c r="S48">
        <v>0</v>
      </c>
      <c r="T48">
        <v>3</v>
      </c>
      <c r="U48">
        <v>3</v>
      </c>
      <c r="V48" s="13"/>
    </row>
    <row r="49" spans="2:22" ht="40.5" customHeight="1">
      <c r="B49" s="50"/>
      <c r="C49" s="50" t="s">
        <v>240</v>
      </c>
      <c r="D49" s="68" t="s">
        <v>241</v>
      </c>
      <c r="E49" s="50" t="s">
        <v>242</v>
      </c>
      <c r="F49" s="100" t="s">
        <v>87</v>
      </c>
      <c r="G49" t="s">
        <v>102</v>
      </c>
      <c r="H49" t="s">
        <v>89</v>
      </c>
      <c r="I49" t="s">
        <v>90</v>
      </c>
      <c r="J49" s="64" t="s">
        <v>198</v>
      </c>
      <c r="K49" t="s">
        <v>132</v>
      </c>
      <c r="M49" s="50"/>
      <c r="N49" s="93" t="s">
        <v>243</v>
      </c>
      <c r="S49">
        <v>0</v>
      </c>
      <c r="T49">
        <v>3</v>
      </c>
      <c r="U49">
        <v>3</v>
      </c>
      <c r="V49" s="13"/>
    </row>
    <row r="50" spans="2:22">
      <c r="B50" s="50"/>
      <c r="C50" s="50" t="s">
        <v>244</v>
      </c>
      <c r="D50" s="68" t="s">
        <v>245</v>
      </c>
      <c r="E50" s="50" t="s">
        <v>246</v>
      </c>
      <c r="F50" s="100" t="s">
        <v>87</v>
      </c>
      <c r="G50" t="s">
        <v>102</v>
      </c>
      <c r="H50" t="s">
        <v>89</v>
      </c>
      <c r="I50" t="s">
        <v>90</v>
      </c>
      <c r="J50" s="64" t="s">
        <v>198</v>
      </c>
      <c r="K50" t="s">
        <v>132</v>
      </c>
      <c r="M50" s="50"/>
      <c r="N50" s="93" t="s">
        <v>247</v>
      </c>
      <c r="S50">
        <v>0</v>
      </c>
      <c r="T50">
        <v>3</v>
      </c>
      <c r="U50">
        <v>3</v>
      </c>
      <c r="V50" s="13"/>
    </row>
    <row r="51" spans="2:22">
      <c r="B51" s="50"/>
      <c r="C51" s="50" t="s">
        <v>248</v>
      </c>
      <c r="D51" s="68" t="s">
        <v>249</v>
      </c>
      <c r="E51" s="68" t="s">
        <v>250</v>
      </c>
      <c r="F51" s="100" t="s">
        <v>87</v>
      </c>
      <c r="G51" t="s">
        <v>187</v>
      </c>
      <c r="H51" t="s">
        <v>89</v>
      </c>
      <c r="I51" t="s">
        <v>90</v>
      </c>
      <c r="J51" s="64" t="s">
        <v>91</v>
      </c>
      <c r="K51" t="s">
        <v>132</v>
      </c>
      <c r="M51" s="50"/>
      <c r="N51" s="13" t="s">
        <v>251</v>
      </c>
      <c r="V51" s="13"/>
    </row>
    <row r="52" spans="2:22" ht="65.45" customHeight="1">
      <c r="B52" s="50"/>
      <c r="C52" s="50" t="s">
        <v>252</v>
      </c>
      <c r="D52" s="68" t="s">
        <v>253</v>
      </c>
      <c r="E52" s="68" t="s">
        <v>254</v>
      </c>
      <c r="F52" s="100" t="s">
        <v>87</v>
      </c>
      <c r="G52" t="s">
        <v>213</v>
      </c>
      <c r="H52" t="s">
        <v>89</v>
      </c>
      <c r="I52" t="s">
        <v>90</v>
      </c>
      <c r="J52" s="64" t="s">
        <v>91</v>
      </c>
      <c r="K52" t="s">
        <v>132</v>
      </c>
      <c r="M52" s="50"/>
      <c r="N52" s="93" t="s">
        <v>255</v>
      </c>
      <c r="U52">
        <v>30</v>
      </c>
      <c r="V52" s="13" t="s">
        <v>215</v>
      </c>
    </row>
    <row r="53" spans="2:22" ht="45" customHeight="1">
      <c r="B53" s="50"/>
      <c r="C53" s="50" t="s">
        <v>256</v>
      </c>
      <c r="D53" s="68" t="s">
        <v>257</v>
      </c>
      <c r="E53" s="50" t="s">
        <v>258</v>
      </c>
      <c r="F53" s="100" t="s">
        <v>87</v>
      </c>
      <c r="G53" t="s">
        <v>259</v>
      </c>
      <c r="H53" t="s">
        <v>89</v>
      </c>
      <c r="I53" t="s">
        <v>90</v>
      </c>
      <c r="J53" s="64" t="s">
        <v>91</v>
      </c>
      <c r="K53" t="s">
        <v>260</v>
      </c>
      <c r="M53" s="50"/>
      <c r="N53" s="95" t="s">
        <v>261</v>
      </c>
      <c r="U53">
        <v>160</v>
      </c>
      <c r="V53" s="13" t="s">
        <v>215</v>
      </c>
    </row>
    <row r="54" spans="2:22" ht="59.45" customHeight="1">
      <c r="B54" s="50"/>
      <c r="C54" s="68" t="s">
        <v>262</v>
      </c>
      <c r="D54" s="68" t="s">
        <v>263</v>
      </c>
      <c r="E54" s="50" t="s">
        <v>264</v>
      </c>
      <c r="F54" s="100" t="s">
        <v>87</v>
      </c>
      <c r="G54" t="s">
        <v>213</v>
      </c>
      <c r="H54" t="s">
        <v>89</v>
      </c>
      <c r="I54" t="s">
        <v>90</v>
      </c>
      <c r="J54" s="64" t="s">
        <v>91</v>
      </c>
      <c r="K54" t="s">
        <v>107</v>
      </c>
      <c r="M54" s="68"/>
      <c r="N54" s="96" t="s">
        <v>265</v>
      </c>
      <c r="U54">
        <v>30</v>
      </c>
      <c r="V54" s="13" t="s">
        <v>215</v>
      </c>
    </row>
    <row r="55" spans="2:22">
      <c r="B55" s="50"/>
      <c r="C55" s="68" t="s">
        <v>266</v>
      </c>
      <c r="D55" s="68" t="s">
        <v>267</v>
      </c>
      <c r="E55" s="50" t="s">
        <v>268</v>
      </c>
      <c r="F55" s="100" t="s">
        <v>87</v>
      </c>
      <c r="G55" t="s">
        <v>102</v>
      </c>
      <c r="H55" t="s">
        <v>89</v>
      </c>
      <c r="I55" t="s">
        <v>90</v>
      </c>
      <c r="J55" s="64" t="s">
        <v>91</v>
      </c>
      <c r="K55" t="s">
        <v>107</v>
      </c>
      <c r="M55" s="68"/>
      <c r="N55" s="92" t="s">
        <v>269</v>
      </c>
      <c r="S55">
        <v>0</v>
      </c>
      <c r="T55">
        <v>3</v>
      </c>
      <c r="U55">
        <v>3</v>
      </c>
      <c r="V55" s="13"/>
    </row>
    <row r="56" spans="2:22" ht="57" customHeight="1">
      <c r="B56" s="50"/>
      <c r="C56" s="68" t="s">
        <v>270</v>
      </c>
      <c r="D56" s="68" t="s">
        <v>271</v>
      </c>
      <c r="E56" s="50" t="s">
        <v>272</v>
      </c>
      <c r="F56" s="100" t="s">
        <v>87</v>
      </c>
      <c r="G56" t="s">
        <v>213</v>
      </c>
      <c r="H56" t="s">
        <v>89</v>
      </c>
      <c r="I56" t="s">
        <v>90</v>
      </c>
      <c r="J56" s="64" t="s">
        <v>91</v>
      </c>
      <c r="K56" t="s">
        <v>107</v>
      </c>
      <c r="M56" s="68"/>
      <c r="N56" s="92" t="s">
        <v>273</v>
      </c>
      <c r="U56">
        <v>30</v>
      </c>
      <c r="V56" s="13" t="s">
        <v>215</v>
      </c>
    </row>
    <row r="57" spans="2:22">
      <c r="B57" s="50"/>
      <c r="C57" s="68" t="s">
        <v>274</v>
      </c>
      <c r="D57" s="68" t="s">
        <v>275</v>
      </c>
      <c r="E57" s="50" t="s">
        <v>276</v>
      </c>
      <c r="F57" s="100" t="s">
        <v>87</v>
      </c>
      <c r="G57" t="s">
        <v>102</v>
      </c>
      <c r="H57" t="s">
        <v>89</v>
      </c>
      <c r="I57" t="s">
        <v>90</v>
      </c>
      <c r="J57" s="64" t="s">
        <v>91</v>
      </c>
      <c r="K57" t="s">
        <v>107</v>
      </c>
      <c r="M57" s="68"/>
      <c r="N57" s="92" t="s">
        <v>277</v>
      </c>
      <c r="S57">
        <v>0</v>
      </c>
      <c r="T57">
        <v>3</v>
      </c>
      <c r="U57">
        <v>3</v>
      </c>
      <c r="V57" s="13"/>
    </row>
    <row r="58" spans="2:22" ht="90">
      <c r="B58" s="50"/>
      <c r="C58" s="68" t="s">
        <v>278</v>
      </c>
      <c r="D58" s="68" t="s">
        <v>279</v>
      </c>
      <c r="E58" s="50" t="s">
        <v>280</v>
      </c>
      <c r="F58" s="100" t="s">
        <v>87</v>
      </c>
      <c r="G58" t="s">
        <v>213</v>
      </c>
      <c r="H58" t="s">
        <v>89</v>
      </c>
      <c r="I58" t="s">
        <v>90</v>
      </c>
      <c r="J58" s="64" t="s">
        <v>91</v>
      </c>
      <c r="K58" t="s">
        <v>107</v>
      </c>
      <c r="M58" s="68"/>
      <c r="N58" s="92" t="s">
        <v>281</v>
      </c>
      <c r="U58">
        <v>30</v>
      </c>
      <c r="V58" s="13" t="s">
        <v>215</v>
      </c>
    </row>
    <row r="59" spans="2:22">
      <c r="B59" s="50"/>
      <c r="C59" s="68" t="s">
        <v>282</v>
      </c>
      <c r="D59" s="68" t="s">
        <v>283</v>
      </c>
      <c r="E59" s="50" t="s">
        <v>284</v>
      </c>
      <c r="F59" s="100" t="s">
        <v>87</v>
      </c>
      <c r="G59" t="s">
        <v>102</v>
      </c>
      <c r="H59" t="s">
        <v>89</v>
      </c>
      <c r="I59" t="s">
        <v>90</v>
      </c>
      <c r="J59" s="64" t="s">
        <v>91</v>
      </c>
      <c r="K59" t="s">
        <v>107</v>
      </c>
      <c r="M59" s="68"/>
      <c r="N59" s="92" t="s">
        <v>285</v>
      </c>
      <c r="S59">
        <v>0</v>
      </c>
      <c r="T59">
        <v>3</v>
      </c>
      <c r="U59">
        <v>3</v>
      </c>
      <c r="V59" s="13"/>
    </row>
    <row r="60" spans="2:22" ht="90">
      <c r="B60" s="50"/>
      <c r="C60" s="68" t="s">
        <v>286</v>
      </c>
      <c r="D60" s="68" t="s">
        <v>287</v>
      </c>
      <c r="E60" s="50" t="s">
        <v>288</v>
      </c>
      <c r="F60" s="100" t="s">
        <v>87</v>
      </c>
      <c r="G60" t="s">
        <v>213</v>
      </c>
      <c r="H60" t="s">
        <v>89</v>
      </c>
      <c r="I60" t="s">
        <v>90</v>
      </c>
      <c r="J60" s="64" t="s">
        <v>91</v>
      </c>
      <c r="K60" t="s">
        <v>107</v>
      </c>
      <c r="M60" s="68"/>
      <c r="N60" s="92" t="s">
        <v>289</v>
      </c>
      <c r="U60">
        <v>30</v>
      </c>
      <c r="V60" s="13" t="s">
        <v>215</v>
      </c>
    </row>
    <row r="61" spans="2:22">
      <c r="B61" s="50"/>
      <c r="C61" s="68" t="s">
        <v>290</v>
      </c>
      <c r="D61" s="68" t="s">
        <v>291</v>
      </c>
      <c r="E61" s="50" t="s">
        <v>292</v>
      </c>
      <c r="F61" s="100" t="s">
        <v>87</v>
      </c>
      <c r="G61" t="s">
        <v>102</v>
      </c>
      <c r="H61" t="s">
        <v>89</v>
      </c>
      <c r="I61" t="s">
        <v>90</v>
      </c>
      <c r="J61" s="64" t="s">
        <v>91</v>
      </c>
      <c r="K61" t="s">
        <v>107</v>
      </c>
      <c r="M61" s="68"/>
      <c r="N61" s="92" t="s">
        <v>293</v>
      </c>
      <c r="S61">
        <v>0</v>
      </c>
      <c r="T61">
        <v>3</v>
      </c>
      <c r="U61">
        <v>3</v>
      </c>
      <c r="V61" s="13"/>
    </row>
    <row r="62" spans="2:22">
      <c r="B62" s="50"/>
      <c r="C62" s="68" t="s">
        <v>294</v>
      </c>
      <c r="D62" s="68" t="s">
        <v>295</v>
      </c>
      <c r="E62" s="50" t="s">
        <v>296</v>
      </c>
      <c r="F62" s="100" t="s">
        <v>87</v>
      </c>
      <c r="G62" t="s">
        <v>88</v>
      </c>
      <c r="H62" t="s">
        <v>89</v>
      </c>
      <c r="I62" t="s">
        <v>90</v>
      </c>
      <c r="J62" s="64" t="s">
        <v>91</v>
      </c>
      <c r="K62" t="s">
        <v>107</v>
      </c>
      <c r="M62" s="68"/>
      <c r="N62" s="96" t="s">
        <v>297</v>
      </c>
      <c r="V62" s="13"/>
    </row>
    <row r="63" spans="2:22">
      <c r="B63" s="50"/>
      <c r="C63" s="68" t="s">
        <v>298</v>
      </c>
      <c r="D63" s="68" t="s">
        <v>299</v>
      </c>
      <c r="E63" s="50" t="s">
        <v>300</v>
      </c>
      <c r="F63" s="100" t="s">
        <v>87</v>
      </c>
      <c r="G63" t="s">
        <v>88</v>
      </c>
      <c r="H63" t="s">
        <v>89</v>
      </c>
      <c r="I63" t="s">
        <v>90</v>
      </c>
      <c r="J63" s="64" t="s">
        <v>91</v>
      </c>
      <c r="K63" t="s">
        <v>107</v>
      </c>
      <c r="M63" s="68"/>
      <c r="N63" s="96" t="s">
        <v>297</v>
      </c>
      <c r="V63" s="13"/>
    </row>
    <row r="64" spans="2:22" ht="90">
      <c r="B64" s="50"/>
      <c r="C64" s="68" t="s">
        <v>301</v>
      </c>
      <c r="D64" s="68" t="s">
        <v>302</v>
      </c>
      <c r="E64" s="66" t="s">
        <v>303</v>
      </c>
      <c r="F64" s="100" t="s">
        <v>87</v>
      </c>
      <c r="G64" t="s">
        <v>213</v>
      </c>
      <c r="H64" t="s">
        <v>89</v>
      </c>
      <c r="I64" t="s">
        <v>90</v>
      </c>
      <c r="J64" s="64" t="s">
        <v>91</v>
      </c>
      <c r="K64" t="s">
        <v>107</v>
      </c>
      <c r="M64" s="68"/>
      <c r="N64" s="120" t="s">
        <v>304</v>
      </c>
      <c r="U64">
        <v>150</v>
      </c>
      <c r="V64" s="13" t="s">
        <v>215</v>
      </c>
    </row>
    <row r="65" spans="2:22">
      <c r="B65" s="50"/>
      <c r="C65" s="68" t="s">
        <v>305</v>
      </c>
      <c r="D65" s="68" t="s">
        <v>306</v>
      </c>
      <c r="E65" s="50" t="s">
        <v>307</v>
      </c>
      <c r="F65" s="100" t="s">
        <v>87</v>
      </c>
      <c r="G65" t="s">
        <v>88</v>
      </c>
      <c r="H65" t="s">
        <v>89</v>
      </c>
      <c r="I65" t="s">
        <v>90</v>
      </c>
      <c r="J65" s="64" t="s">
        <v>91</v>
      </c>
      <c r="K65" t="s">
        <v>107</v>
      </c>
      <c r="M65" s="68"/>
      <c r="N65" s="96" t="s">
        <v>308</v>
      </c>
      <c r="V65" s="13"/>
    </row>
    <row r="66" spans="2:22" ht="90">
      <c r="B66" s="50"/>
      <c r="C66" s="68" t="s">
        <v>309</v>
      </c>
      <c r="D66" s="112" t="s">
        <v>310</v>
      </c>
      <c r="E66" s="66" t="s">
        <v>311</v>
      </c>
      <c r="F66" s="100" t="s">
        <v>87</v>
      </c>
      <c r="G66" t="s">
        <v>213</v>
      </c>
      <c r="H66" t="s">
        <v>89</v>
      </c>
      <c r="I66" t="s">
        <v>90</v>
      </c>
      <c r="J66" s="64" t="s">
        <v>91</v>
      </c>
      <c r="K66" t="s">
        <v>107</v>
      </c>
      <c r="M66" s="68"/>
      <c r="N66" s="111" t="s">
        <v>312</v>
      </c>
      <c r="U66">
        <v>150</v>
      </c>
      <c r="V66" s="13" t="s">
        <v>215</v>
      </c>
    </row>
    <row r="67" spans="2:22">
      <c r="B67" s="50"/>
      <c r="C67" s="68" t="s">
        <v>313</v>
      </c>
      <c r="D67" s="68" t="s">
        <v>314</v>
      </c>
      <c r="E67" s="50" t="s">
        <v>315</v>
      </c>
      <c r="F67" s="100" t="s">
        <v>87</v>
      </c>
      <c r="G67" t="s">
        <v>187</v>
      </c>
      <c r="H67" t="s">
        <v>89</v>
      </c>
      <c r="I67" t="s">
        <v>90</v>
      </c>
      <c r="J67" s="64" t="s">
        <v>91</v>
      </c>
      <c r="K67" t="s">
        <v>107</v>
      </c>
      <c r="M67" s="68"/>
      <c r="N67" s="92" t="s">
        <v>316</v>
      </c>
      <c r="V67" s="13"/>
    </row>
    <row r="68" spans="2:22" ht="90">
      <c r="B68" s="50"/>
      <c r="C68" s="68" t="s">
        <v>317</v>
      </c>
      <c r="D68" s="68" t="s">
        <v>318</v>
      </c>
      <c r="E68" s="50" t="s">
        <v>315</v>
      </c>
      <c r="F68" s="100" t="s">
        <v>87</v>
      </c>
      <c r="G68" t="s">
        <v>213</v>
      </c>
      <c r="H68" t="s">
        <v>89</v>
      </c>
      <c r="I68" t="s">
        <v>90</v>
      </c>
      <c r="J68" s="64" t="s">
        <v>91</v>
      </c>
      <c r="K68" t="s">
        <v>107</v>
      </c>
      <c r="M68" s="68"/>
      <c r="N68" s="92" t="s">
        <v>316</v>
      </c>
      <c r="U68">
        <v>150</v>
      </c>
      <c r="V68" s="13" t="s">
        <v>215</v>
      </c>
    </row>
    <row r="69" spans="2:22" ht="90">
      <c r="B69" s="50"/>
      <c r="C69" s="68" t="s">
        <v>317</v>
      </c>
      <c r="D69" s="105" t="s">
        <v>319</v>
      </c>
      <c r="E69" s="50" t="s">
        <v>315</v>
      </c>
      <c r="F69" s="100" t="s">
        <v>87</v>
      </c>
      <c r="G69" t="s">
        <v>213</v>
      </c>
      <c r="H69" t="s">
        <v>89</v>
      </c>
      <c r="I69" t="s">
        <v>90</v>
      </c>
      <c r="J69" s="64" t="s">
        <v>91</v>
      </c>
      <c r="K69" t="s">
        <v>107</v>
      </c>
      <c r="M69" s="68"/>
      <c r="N69" s="92" t="s">
        <v>316</v>
      </c>
      <c r="U69">
        <v>150</v>
      </c>
      <c r="V69" s="13" t="s">
        <v>215</v>
      </c>
    </row>
    <row r="70" spans="2:22" ht="90">
      <c r="B70" s="50"/>
      <c r="C70" s="68" t="s">
        <v>317</v>
      </c>
      <c r="D70" s="105" t="s">
        <v>320</v>
      </c>
      <c r="E70" s="50" t="s">
        <v>315</v>
      </c>
      <c r="F70" s="100" t="s">
        <v>87</v>
      </c>
      <c r="G70" t="s">
        <v>213</v>
      </c>
      <c r="H70" t="s">
        <v>89</v>
      </c>
      <c r="I70" t="s">
        <v>90</v>
      </c>
      <c r="J70" s="64" t="s">
        <v>91</v>
      </c>
      <c r="K70" t="s">
        <v>107</v>
      </c>
      <c r="M70" s="68"/>
      <c r="N70" s="92" t="s">
        <v>316</v>
      </c>
      <c r="U70">
        <v>150</v>
      </c>
      <c r="V70" s="13" t="s">
        <v>215</v>
      </c>
    </row>
    <row r="71" spans="2:22" ht="90">
      <c r="B71" s="50"/>
      <c r="C71" s="68" t="s">
        <v>317</v>
      </c>
      <c r="D71" s="105" t="s">
        <v>321</v>
      </c>
      <c r="E71" s="50" t="s">
        <v>315</v>
      </c>
      <c r="F71" s="100" t="s">
        <v>87</v>
      </c>
      <c r="G71" t="s">
        <v>213</v>
      </c>
      <c r="H71" t="s">
        <v>89</v>
      </c>
      <c r="I71" t="s">
        <v>90</v>
      </c>
      <c r="J71" s="64" t="s">
        <v>91</v>
      </c>
      <c r="K71" t="s">
        <v>107</v>
      </c>
      <c r="M71" s="68"/>
      <c r="N71" s="92" t="s">
        <v>316</v>
      </c>
      <c r="U71">
        <v>150</v>
      </c>
      <c r="V71" s="13" t="s">
        <v>215</v>
      </c>
    </row>
    <row r="72" spans="2:22" ht="90">
      <c r="B72" s="50"/>
      <c r="C72" s="68" t="s">
        <v>317</v>
      </c>
      <c r="D72" s="105" t="s">
        <v>322</v>
      </c>
      <c r="E72" s="50" t="s">
        <v>315</v>
      </c>
      <c r="F72" s="100" t="s">
        <v>87</v>
      </c>
      <c r="G72" t="s">
        <v>213</v>
      </c>
      <c r="H72" t="s">
        <v>89</v>
      </c>
      <c r="I72" t="s">
        <v>90</v>
      </c>
      <c r="J72" s="64" t="s">
        <v>91</v>
      </c>
      <c r="K72" t="s">
        <v>107</v>
      </c>
      <c r="M72" s="68"/>
      <c r="N72" s="92" t="s">
        <v>316</v>
      </c>
      <c r="U72">
        <v>150</v>
      </c>
      <c r="V72" s="13" t="s">
        <v>215</v>
      </c>
    </row>
    <row r="73" spans="2:22">
      <c r="B73" s="50"/>
      <c r="C73" s="68" t="s">
        <v>323</v>
      </c>
      <c r="D73" s="68" t="s">
        <v>324</v>
      </c>
      <c r="E73" s="50" t="s">
        <v>325</v>
      </c>
      <c r="F73" s="100" t="s">
        <v>87</v>
      </c>
      <c r="G73" t="s">
        <v>88</v>
      </c>
      <c r="H73" t="s">
        <v>89</v>
      </c>
      <c r="I73" t="s">
        <v>90</v>
      </c>
      <c r="J73" s="64" t="s">
        <v>91</v>
      </c>
      <c r="K73" t="s">
        <v>107</v>
      </c>
      <c r="M73" s="68"/>
      <c r="N73" s="96" t="s">
        <v>326</v>
      </c>
      <c r="V73" s="13"/>
    </row>
    <row r="74" spans="2:22">
      <c r="B74" s="50"/>
      <c r="C74" s="68" t="s">
        <v>327</v>
      </c>
      <c r="D74" s="68" t="s">
        <v>328</v>
      </c>
      <c r="E74" s="50" t="s">
        <v>329</v>
      </c>
      <c r="F74" s="100" t="s">
        <v>87</v>
      </c>
      <c r="G74" t="s">
        <v>88</v>
      </c>
      <c r="H74" t="s">
        <v>89</v>
      </c>
      <c r="I74" t="s">
        <v>90</v>
      </c>
      <c r="J74" s="64" t="s">
        <v>91</v>
      </c>
      <c r="K74" t="s">
        <v>107</v>
      </c>
      <c r="M74" s="68"/>
      <c r="N74" s="92" t="s">
        <v>330</v>
      </c>
      <c r="V74" s="13"/>
    </row>
    <row r="75" spans="2:22">
      <c r="B75" s="50"/>
      <c r="C75" s="68" t="s">
        <v>331</v>
      </c>
      <c r="D75" s="68" t="s">
        <v>332</v>
      </c>
      <c r="E75" s="68" t="s">
        <v>333</v>
      </c>
      <c r="F75" s="100" t="s">
        <v>87</v>
      </c>
      <c r="G75" t="s">
        <v>187</v>
      </c>
      <c r="H75" t="s">
        <v>89</v>
      </c>
      <c r="I75" t="s">
        <v>90</v>
      </c>
      <c r="J75" s="64" t="s">
        <v>91</v>
      </c>
      <c r="K75" t="s">
        <v>107</v>
      </c>
      <c r="M75" s="68"/>
      <c r="N75" s="96" t="s">
        <v>334</v>
      </c>
      <c r="V75" s="13"/>
    </row>
    <row r="76" spans="2:22">
      <c r="B76" s="50"/>
      <c r="C76" s="68" t="s">
        <v>335</v>
      </c>
      <c r="D76" s="68" t="s">
        <v>336</v>
      </c>
      <c r="E76" s="50" t="s">
        <v>337</v>
      </c>
      <c r="F76" s="100" t="s">
        <v>87</v>
      </c>
      <c r="G76" t="s">
        <v>102</v>
      </c>
      <c r="H76" t="s">
        <v>89</v>
      </c>
      <c r="I76" t="s">
        <v>90</v>
      </c>
      <c r="J76" s="64" t="s">
        <v>91</v>
      </c>
      <c r="K76" t="s">
        <v>107</v>
      </c>
      <c r="M76" s="68"/>
      <c r="N76" s="96" t="s">
        <v>338</v>
      </c>
      <c r="S76">
        <v>0</v>
      </c>
      <c r="T76">
        <v>4</v>
      </c>
      <c r="U76">
        <v>4</v>
      </c>
      <c r="V76" s="13"/>
    </row>
    <row r="77" spans="2:22" ht="14.45" customHeight="1">
      <c r="B77" s="50"/>
      <c r="C77" s="68" t="s">
        <v>339</v>
      </c>
      <c r="D77" s="68" t="s">
        <v>340</v>
      </c>
      <c r="E77" s="121" t="s">
        <v>341</v>
      </c>
      <c r="F77" s="100" t="s">
        <v>87</v>
      </c>
      <c r="G77" t="s">
        <v>187</v>
      </c>
      <c r="H77" t="s">
        <v>89</v>
      </c>
      <c r="I77" t="s">
        <v>90</v>
      </c>
      <c r="J77" s="64" t="s">
        <v>91</v>
      </c>
      <c r="K77" t="s">
        <v>107</v>
      </c>
      <c r="M77" s="68"/>
      <c r="N77" s="13" t="s">
        <v>342</v>
      </c>
      <c r="V77" s="13"/>
    </row>
    <row r="78" spans="2:22" ht="27.6" customHeight="1">
      <c r="B78" s="50"/>
      <c r="C78" s="68" t="s">
        <v>343</v>
      </c>
      <c r="D78" s="68" t="s">
        <v>344</v>
      </c>
      <c r="E78" s="50" t="s">
        <v>345</v>
      </c>
      <c r="F78" s="100" t="s">
        <v>87</v>
      </c>
      <c r="G78" t="s">
        <v>88</v>
      </c>
      <c r="H78" t="s">
        <v>89</v>
      </c>
      <c r="I78" t="s">
        <v>90</v>
      </c>
      <c r="J78" s="64" t="s">
        <v>91</v>
      </c>
      <c r="K78" t="s">
        <v>107</v>
      </c>
      <c r="M78" s="68"/>
      <c r="N78" s="92" t="s">
        <v>346</v>
      </c>
      <c r="V78" s="13"/>
    </row>
    <row r="79" spans="2:22" ht="30">
      <c r="B79" s="50"/>
      <c r="C79" s="68" t="s">
        <v>347</v>
      </c>
      <c r="D79" s="68" t="s">
        <v>348</v>
      </c>
      <c r="E79" s="50" t="s">
        <v>349</v>
      </c>
      <c r="F79" s="100" t="s">
        <v>87</v>
      </c>
      <c r="G79" t="s">
        <v>88</v>
      </c>
      <c r="H79" t="s">
        <v>89</v>
      </c>
      <c r="I79" t="s">
        <v>90</v>
      </c>
      <c r="J79" s="64" t="s">
        <v>91</v>
      </c>
      <c r="K79" t="s">
        <v>107</v>
      </c>
      <c r="M79" s="68"/>
      <c r="N79" s="92" t="s">
        <v>350</v>
      </c>
      <c r="V79" s="13"/>
    </row>
    <row r="80" spans="2:22" ht="48" customHeight="1">
      <c r="B80" s="50"/>
      <c r="C80" s="68" t="s">
        <v>351</v>
      </c>
      <c r="D80" s="68" t="s">
        <v>352</v>
      </c>
      <c r="E80" s="66" t="s">
        <v>353</v>
      </c>
      <c r="F80" s="100" t="s">
        <v>87</v>
      </c>
      <c r="G80" t="s">
        <v>213</v>
      </c>
      <c r="H80" t="s">
        <v>89</v>
      </c>
      <c r="I80" t="s">
        <v>90</v>
      </c>
      <c r="J80" s="64" t="s">
        <v>91</v>
      </c>
      <c r="K80" t="s">
        <v>107</v>
      </c>
      <c r="M80" s="68"/>
      <c r="N80" s="120" t="s">
        <v>354</v>
      </c>
      <c r="U80">
        <v>150</v>
      </c>
      <c r="V80" s="13" t="s">
        <v>215</v>
      </c>
    </row>
    <row r="81" spans="2:22">
      <c r="B81" s="50"/>
      <c r="C81" s="68" t="s">
        <v>355</v>
      </c>
      <c r="D81" s="68" t="s">
        <v>356</v>
      </c>
      <c r="E81" s="50" t="s">
        <v>357</v>
      </c>
      <c r="F81" s="100" t="s">
        <v>87</v>
      </c>
      <c r="G81" t="s">
        <v>88</v>
      </c>
      <c r="H81" t="s">
        <v>89</v>
      </c>
      <c r="I81" t="s">
        <v>90</v>
      </c>
      <c r="J81" s="64" t="s">
        <v>91</v>
      </c>
      <c r="K81" t="s">
        <v>107</v>
      </c>
      <c r="M81" s="68"/>
      <c r="N81" s="92" t="s">
        <v>358</v>
      </c>
      <c r="V81" s="13"/>
    </row>
    <row r="82" spans="2:22" ht="30">
      <c r="B82" s="50"/>
      <c r="C82" s="68" t="s">
        <v>359</v>
      </c>
      <c r="D82" s="68" t="s">
        <v>360</v>
      </c>
      <c r="E82" s="50" t="s">
        <v>361</v>
      </c>
      <c r="F82" s="100" t="s">
        <v>87</v>
      </c>
      <c r="G82" t="s">
        <v>187</v>
      </c>
      <c r="H82" t="s">
        <v>89</v>
      </c>
      <c r="I82" t="s">
        <v>90</v>
      </c>
      <c r="J82" s="64" t="s">
        <v>91</v>
      </c>
      <c r="K82" t="s">
        <v>107</v>
      </c>
      <c r="M82" s="68"/>
      <c r="N82" s="92" t="s">
        <v>362</v>
      </c>
      <c r="V82" s="13"/>
    </row>
    <row r="83" spans="2:22" ht="90">
      <c r="B83" s="50"/>
      <c r="C83" s="68" t="s">
        <v>363</v>
      </c>
      <c r="D83" s="105" t="s">
        <v>364</v>
      </c>
      <c r="E83" s="66" t="s">
        <v>365</v>
      </c>
      <c r="F83" s="100" t="s">
        <v>87</v>
      </c>
      <c r="G83" t="s">
        <v>213</v>
      </c>
      <c r="H83" t="s">
        <v>89</v>
      </c>
      <c r="I83" t="s">
        <v>90</v>
      </c>
      <c r="J83" s="64" t="s">
        <v>91</v>
      </c>
      <c r="K83" t="s">
        <v>107</v>
      </c>
      <c r="M83" s="68"/>
      <c r="N83" s="111" t="s">
        <v>366</v>
      </c>
      <c r="U83">
        <v>150</v>
      </c>
      <c r="V83" s="13" t="s">
        <v>215</v>
      </c>
    </row>
    <row r="84" spans="2:22" ht="90">
      <c r="B84" s="50"/>
      <c r="C84" s="68" t="s">
        <v>367</v>
      </c>
      <c r="D84" s="105" t="s">
        <v>368</v>
      </c>
      <c r="E84" s="66" t="s">
        <v>369</v>
      </c>
      <c r="F84" s="100" t="s">
        <v>87</v>
      </c>
      <c r="G84" t="s">
        <v>213</v>
      </c>
      <c r="H84" t="s">
        <v>89</v>
      </c>
      <c r="I84" t="s">
        <v>90</v>
      </c>
      <c r="J84" s="64" t="s">
        <v>91</v>
      </c>
      <c r="K84" t="s">
        <v>107</v>
      </c>
      <c r="M84" s="68"/>
      <c r="N84" s="111" t="s">
        <v>370</v>
      </c>
      <c r="U84">
        <v>150</v>
      </c>
      <c r="V84" s="13" t="s">
        <v>215</v>
      </c>
    </row>
    <row r="85" spans="2:22">
      <c r="B85" s="50"/>
      <c r="C85" s="68" t="s">
        <v>371</v>
      </c>
      <c r="D85" s="68" t="s">
        <v>372</v>
      </c>
      <c r="E85" s="50" t="s">
        <v>373</v>
      </c>
      <c r="F85" s="100" t="s">
        <v>87</v>
      </c>
      <c r="G85" t="s">
        <v>88</v>
      </c>
      <c r="H85" t="s">
        <v>89</v>
      </c>
      <c r="I85" t="s">
        <v>90</v>
      </c>
      <c r="J85" s="64" t="s">
        <v>91</v>
      </c>
      <c r="K85" t="s">
        <v>107</v>
      </c>
      <c r="M85" s="68"/>
      <c r="N85" s="92" t="s">
        <v>374</v>
      </c>
      <c r="V85" s="13"/>
    </row>
    <row r="86" spans="2:22">
      <c r="B86" s="50"/>
      <c r="C86" s="68" t="s">
        <v>375</v>
      </c>
      <c r="D86" s="68" t="s">
        <v>376</v>
      </c>
      <c r="E86" s="50" t="s">
        <v>377</v>
      </c>
      <c r="F86" s="100" t="s">
        <v>87</v>
      </c>
      <c r="G86" t="s">
        <v>88</v>
      </c>
      <c r="H86" t="s">
        <v>89</v>
      </c>
      <c r="I86" t="s">
        <v>90</v>
      </c>
      <c r="J86" s="64" t="s">
        <v>91</v>
      </c>
      <c r="K86" t="s">
        <v>107</v>
      </c>
      <c r="M86" s="68"/>
      <c r="N86" s="92" t="s">
        <v>378</v>
      </c>
      <c r="V86" s="13"/>
    </row>
    <row r="87" spans="2:22">
      <c r="B87" s="50"/>
      <c r="C87" s="68" t="s">
        <v>379</v>
      </c>
      <c r="D87" s="68" t="s">
        <v>380</v>
      </c>
      <c r="E87" s="50" t="s">
        <v>381</v>
      </c>
      <c r="F87" s="100" t="s">
        <v>87</v>
      </c>
      <c r="G87" t="s">
        <v>88</v>
      </c>
      <c r="H87" t="s">
        <v>89</v>
      </c>
      <c r="I87" t="s">
        <v>90</v>
      </c>
      <c r="J87" s="64" t="s">
        <v>91</v>
      </c>
      <c r="K87" t="s">
        <v>107</v>
      </c>
      <c r="M87" s="68"/>
      <c r="N87" s="92" t="s">
        <v>382</v>
      </c>
      <c r="V87" s="13"/>
    </row>
    <row r="88" spans="2:22">
      <c r="B88" s="50"/>
      <c r="C88" s="68" t="s">
        <v>383</v>
      </c>
      <c r="D88" s="68" t="s">
        <v>384</v>
      </c>
      <c r="E88" s="50" t="s">
        <v>385</v>
      </c>
      <c r="F88" s="100" t="s">
        <v>87</v>
      </c>
      <c r="G88" t="s">
        <v>88</v>
      </c>
      <c r="H88" t="s">
        <v>89</v>
      </c>
      <c r="I88" t="s">
        <v>90</v>
      </c>
      <c r="J88" s="64" t="s">
        <v>91</v>
      </c>
      <c r="K88" t="s">
        <v>107</v>
      </c>
      <c r="M88" s="68"/>
      <c r="N88" s="92" t="s">
        <v>386</v>
      </c>
      <c r="V88" s="13"/>
    </row>
    <row r="89" spans="2:22">
      <c r="B89" s="50"/>
      <c r="C89" s="68" t="s">
        <v>387</v>
      </c>
      <c r="D89" s="68" t="s">
        <v>388</v>
      </c>
      <c r="E89" s="68" t="s">
        <v>389</v>
      </c>
      <c r="F89" s="100" t="s">
        <v>87</v>
      </c>
      <c r="G89" t="s">
        <v>88</v>
      </c>
      <c r="H89" t="s">
        <v>89</v>
      </c>
      <c r="I89" t="s">
        <v>90</v>
      </c>
      <c r="J89" s="64" t="s">
        <v>91</v>
      </c>
      <c r="K89" t="s">
        <v>107</v>
      </c>
      <c r="M89" s="68"/>
      <c r="N89" s="96" t="s">
        <v>390</v>
      </c>
      <c r="V89" s="13"/>
    </row>
    <row r="90" spans="2:22" ht="30">
      <c r="B90" s="50"/>
      <c r="C90" s="68" t="s">
        <v>391</v>
      </c>
      <c r="D90" s="68" t="s">
        <v>392</v>
      </c>
      <c r="E90" s="68" t="s">
        <v>393</v>
      </c>
      <c r="F90" s="100" t="s">
        <v>87</v>
      </c>
      <c r="G90" t="s">
        <v>88</v>
      </c>
      <c r="H90" t="s">
        <v>89</v>
      </c>
      <c r="I90" t="s">
        <v>90</v>
      </c>
      <c r="J90" s="64" t="s">
        <v>91</v>
      </c>
      <c r="K90" t="s">
        <v>107</v>
      </c>
      <c r="M90" s="68"/>
      <c r="N90" s="92" t="s">
        <v>394</v>
      </c>
      <c r="V90" s="13"/>
    </row>
    <row r="91" spans="2:22">
      <c r="B91" s="50"/>
      <c r="C91" s="68" t="s">
        <v>395</v>
      </c>
      <c r="D91" s="68" t="s">
        <v>396</v>
      </c>
      <c r="E91" s="68" t="s">
        <v>397</v>
      </c>
      <c r="F91" s="100" t="s">
        <v>87</v>
      </c>
      <c r="G91" t="s">
        <v>88</v>
      </c>
      <c r="H91" t="s">
        <v>89</v>
      </c>
      <c r="I91" t="s">
        <v>90</v>
      </c>
      <c r="J91" s="64" t="s">
        <v>91</v>
      </c>
      <c r="K91" t="s">
        <v>107</v>
      </c>
      <c r="M91" s="68"/>
      <c r="N91" s="92" t="s">
        <v>398</v>
      </c>
      <c r="V91" s="13"/>
    </row>
    <row r="92" spans="2:22">
      <c r="B92" s="50"/>
      <c r="C92" s="68" t="s">
        <v>399</v>
      </c>
      <c r="D92" s="68" t="s">
        <v>400</v>
      </c>
      <c r="E92" s="68" t="s">
        <v>401</v>
      </c>
      <c r="F92" s="100" t="s">
        <v>87</v>
      </c>
      <c r="G92" t="s">
        <v>88</v>
      </c>
      <c r="H92" t="s">
        <v>89</v>
      </c>
      <c r="I92" t="s">
        <v>90</v>
      </c>
      <c r="J92" s="64" t="s">
        <v>91</v>
      </c>
      <c r="K92" t="s">
        <v>107</v>
      </c>
      <c r="M92" s="68"/>
      <c r="N92" s="92" t="s">
        <v>402</v>
      </c>
      <c r="V92" s="13"/>
    </row>
    <row r="93" spans="2:22">
      <c r="B93" s="50"/>
      <c r="C93" s="68" t="s">
        <v>403</v>
      </c>
      <c r="D93" s="68" t="s">
        <v>404</v>
      </c>
      <c r="E93" s="68" t="s">
        <v>405</v>
      </c>
      <c r="F93" s="100" t="s">
        <v>87</v>
      </c>
      <c r="G93" t="s">
        <v>88</v>
      </c>
      <c r="H93" t="s">
        <v>89</v>
      </c>
      <c r="I93" t="s">
        <v>90</v>
      </c>
      <c r="J93" s="64" t="s">
        <v>91</v>
      </c>
      <c r="K93" t="s">
        <v>107</v>
      </c>
      <c r="M93" s="68"/>
      <c r="N93" s="92" t="s">
        <v>406</v>
      </c>
      <c r="V93" s="13"/>
    </row>
    <row r="94" spans="2:22">
      <c r="B94" s="50"/>
      <c r="C94" s="68" t="s">
        <v>407</v>
      </c>
      <c r="D94" s="68" t="s">
        <v>408</v>
      </c>
      <c r="E94" s="68" t="s">
        <v>409</v>
      </c>
      <c r="F94" s="100" t="s">
        <v>87</v>
      </c>
      <c r="G94" t="s">
        <v>88</v>
      </c>
      <c r="H94" t="s">
        <v>89</v>
      </c>
      <c r="I94" t="s">
        <v>90</v>
      </c>
      <c r="J94" s="64" t="s">
        <v>91</v>
      </c>
      <c r="K94" t="s">
        <v>107</v>
      </c>
      <c r="M94" s="68"/>
      <c r="N94" s="92" t="s">
        <v>410</v>
      </c>
      <c r="V94" s="13"/>
    </row>
    <row r="95" spans="2:22" ht="30">
      <c r="B95" s="50"/>
      <c r="C95" s="68" t="s">
        <v>411</v>
      </c>
      <c r="D95" s="68" t="s">
        <v>412</v>
      </c>
      <c r="E95" s="68" t="s">
        <v>413</v>
      </c>
      <c r="F95" s="100" t="s">
        <v>87</v>
      </c>
      <c r="G95" t="s">
        <v>88</v>
      </c>
      <c r="H95" t="s">
        <v>89</v>
      </c>
      <c r="I95" t="s">
        <v>90</v>
      </c>
      <c r="J95" s="64" t="s">
        <v>91</v>
      </c>
      <c r="K95" t="s">
        <v>107</v>
      </c>
      <c r="M95" s="68"/>
      <c r="N95" s="97" t="s">
        <v>414</v>
      </c>
      <c r="V95" s="13"/>
    </row>
    <row r="96" spans="2:22">
      <c r="B96" s="50"/>
      <c r="C96" s="68" t="s">
        <v>415</v>
      </c>
      <c r="D96" s="68" t="s">
        <v>416</v>
      </c>
      <c r="E96" s="68" t="s">
        <v>417</v>
      </c>
      <c r="F96" s="100" t="s">
        <v>87</v>
      </c>
      <c r="G96" t="s">
        <v>88</v>
      </c>
      <c r="H96" t="s">
        <v>89</v>
      </c>
      <c r="I96" t="s">
        <v>90</v>
      </c>
      <c r="J96" s="64" t="s">
        <v>91</v>
      </c>
      <c r="K96" t="s">
        <v>107</v>
      </c>
      <c r="M96" s="68"/>
      <c r="N96" s="97" t="s">
        <v>418</v>
      </c>
      <c r="V96" s="13"/>
    </row>
    <row r="97" spans="2:22">
      <c r="B97" s="50"/>
      <c r="C97" s="68" t="s">
        <v>419</v>
      </c>
      <c r="D97" s="68" t="s">
        <v>420</v>
      </c>
      <c r="E97" s="68" t="s">
        <v>421</v>
      </c>
      <c r="F97" s="100" t="s">
        <v>87</v>
      </c>
      <c r="G97" t="s">
        <v>88</v>
      </c>
      <c r="H97" t="s">
        <v>89</v>
      </c>
      <c r="I97" t="s">
        <v>90</v>
      </c>
      <c r="J97" s="64" t="s">
        <v>91</v>
      </c>
      <c r="K97" t="s">
        <v>107</v>
      </c>
      <c r="M97" s="68"/>
      <c r="N97" s="92" t="s">
        <v>422</v>
      </c>
      <c r="V97" s="13"/>
    </row>
    <row r="98" spans="2:22">
      <c r="B98" s="50"/>
      <c r="C98" s="68" t="s">
        <v>423</v>
      </c>
      <c r="D98" s="68" t="s">
        <v>424</v>
      </c>
      <c r="E98" s="68" t="s">
        <v>425</v>
      </c>
      <c r="F98" s="100" t="s">
        <v>87</v>
      </c>
      <c r="G98" t="s">
        <v>88</v>
      </c>
      <c r="H98" t="s">
        <v>89</v>
      </c>
      <c r="I98" t="s">
        <v>90</v>
      </c>
      <c r="J98" s="64" t="s">
        <v>91</v>
      </c>
      <c r="K98" t="s">
        <v>107</v>
      </c>
      <c r="M98" s="68"/>
      <c r="N98" s="92" t="s">
        <v>426</v>
      </c>
      <c r="V98" s="13"/>
    </row>
    <row r="99" spans="2:22">
      <c r="B99" s="50"/>
      <c r="C99" s="68" t="s">
        <v>427</v>
      </c>
      <c r="D99" s="68" t="s">
        <v>428</v>
      </c>
      <c r="E99" s="68" t="s">
        <v>429</v>
      </c>
      <c r="F99" s="100" t="s">
        <v>87</v>
      </c>
      <c r="G99" t="s">
        <v>88</v>
      </c>
      <c r="H99" t="s">
        <v>89</v>
      </c>
      <c r="I99" t="s">
        <v>90</v>
      </c>
      <c r="J99" s="64" t="s">
        <v>91</v>
      </c>
      <c r="K99" t="s">
        <v>107</v>
      </c>
      <c r="M99" s="68"/>
      <c r="N99" s="92" t="s">
        <v>430</v>
      </c>
      <c r="V99" s="13"/>
    </row>
    <row r="100" spans="2:22">
      <c r="B100" s="50"/>
      <c r="C100" s="68" t="s">
        <v>431</v>
      </c>
      <c r="D100" s="68" t="s">
        <v>432</v>
      </c>
      <c r="E100" s="68" t="s">
        <v>433</v>
      </c>
      <c r="F100" s="100" t="s">
        <v>87</v>
      </c>
      <c r="G100" t="s">
        <v>88</v>
      </c>
      <c r="H100" t="s">
        <v>89</v>
      </c>
      <c r="I100" t="s">
        <v>90</v>
      </c>
      <c r="J100" s="64" t="s">
        <v>91</v>
      </c>
      <c r="K100" t="s">
        <v>107</v>
      </c>
      <c r="M100" s="68"/>
      <c r="N100" s="92" t="s">
        <v>434</v>
      </c>
      <c r="V100" s="13"/>
    </row>
    <row r="101" spans="2:22" ht="56.45" customHeight="1">
      <c r="B101" s="50"/>
      <c r="C101" s="68" t="s">
        <v>435</v>
      </c>
      <c r="D101" s="68" t="s">
        <v>436</v>
      </c>
      <c r="E101" s="68" t="s">
        <v>437</v>
      </c>
      <c r="F101" s="100" t="s">
        <v>87</v>
      </c>
      <c r="G101" t="s">
        <v>213</v>
      </c>
      <c r="H101" t="s">
        <v>89</v>
      </c>
      <c r="I101" t="s">
        <v>90</v>
      </c>
      <c r="J101" s="64" t="s">
        <v>91</v>
      </c>
      <c r="K101" t="s">
        <v>107</v>
      </c>
      <c r="M101" s="68"/>
      <c r="N101" s="92" t="s">
        <v>434</v>
      </c>
      <c r="U101">
        <v>150</v>
      </c>
      <c r="V101" s="13" t="s">
        <v>215</v>
      </c>
    </row>
    <row r="102" spans="2:22" ht="30">
      <c r="B102" s="50"/>
      <c r="C102" s="68" t="s">
        <v>438</v>
      </c>
      <c r="D102" s="68" t="s">
        <v>439</v>
      </c>
      <c r="E102" s="50" t="s">
        <v>440</v>
      </c>
      <c r="F102" s="100" t="s">
        <v>87</v>
      </c>
      <c r="G102" t="s">
        <v>88</v>
      </c>
      <c r="H102" t="s">
        <v>89</v>
      </c>
      <c r="I102" t="s">
        <v>90</v>
      </c>
      <c r="J102" s="64" t="s">
        <v>91</v>
      </c>
      <c r="K102" t="s">
        <v>107</v>
      </c>
      <c r="M102" s="68"/>
      <c r="N102" s="92" t="s">
        <v>441</v>
      </c>
      <c r="V102" s="13"/>
    </row>
    <row r="103" spans="2:22">
      <c r="B103" s="50"/>
      <c r="C103" s="68" t="s">
        <v>442</v>
      </c>
      <c r="D103" s="68" t="s">
        <v>443</v>
      </c>
      <c r="E103" s="50" t="s">
        <v>444</v>
      </c>
      <c r="F103" s="100" t="s">
        <v>87</v>
      </c>
      <c r="G103" t="s">
        <v>88</v>
      </c>
      <c r="H103" t="s">
        <v>89</v>
      </c>
      <c r="I103" t="s">
        <v>90</v>
      </c>
      <c r="J103" s="64" t="s">
        <v>91</v>
      </c>
      <c r="K103" t="s">
        <v>107</v>
      </c>
      <c r="M103" s="68"/>
      <c r="N103" s="92" t="s">
        <v>445</v>
      </c>
      <c r="V103" s="13"/>
    </row>
    <row r="104" spans="2:22">
      <c r="B104" s="50"/>
      <c r="C104" s="68" t="s">
        <v>446</v>
      </c>
      <c r="D104" s="68" t="s">
        <v>447</v>
      </c>
      <c r="E104" s="50" t="s">
        <v>448</v>
      </c>
      <c r="F104" s="100" t="s">
        <v>87</v>
      </c>
      <c r="G104" t="s">
        <v>88</v>
      </c>
      <c r="H104" t="s">
        <v>89</v>
      </c>
      <c r="I104" t="s">
        <v>90</v>
      </c>
      <c r="J104" s="64" t="s">
        <v>91</v>
      </c>
      <c r="K104" t="s">
        <v>107</v>
      </c>
      <c r="M104" s="68"/>
      <c r="N104" s="92" t="s">
        <v>449</v>
      </c>
      <c r="V104" s="13"/>
    </row>
    <row r="105" spans="2:22">
      <c r="B105" s="50"/>
      <c r="C105" s="68" t="s">
        <v>450</v>
      </c>
      <c r="D105" s="50" t="s">
        <v>451</v>
      </c>
      <c r="E105" s="68" t="s">
        <v>452</v>
      </c>
      <c r="F105" s="100" t="s">
        <v>87</v>
      </c>
      <c r="G105" t="s">
        <v>187</v>
      </c>
      <c r="H105" t="s">
        <v>89</v>
      </c>
      <c r="I105" t="s">
        <v>90</v>
      </c>
      <c r="J105" t="s">
        <v>198</v>
      </c>
      <c r="K105" t="s">
        <v>260</v>
      </c>
      <c r="M105" s="68"/>
      <c r="N105" s="96" t="s">
        <v>453</v>
      </c>
      <c r="V105" s="13"/>
    </row>
    <row r="106" spans="2:22">
      <c r="B106" s="50"/>
      <c r="C106" s="68" t="s">
        <v>454</v>
      </c>
      <c r="D106" s="50" t="s">
        <v>455</v>
      </c>
      <c r="E106" s="68" t="s">
        <v>456</v>
      </c>
      <c r="F106" s="100" t="s">
        <v>87</v>
      </c>
      <c r="G106" t="s">
        <v>187</v>
      </c>
      <c r="H106" t="s">
        <v>89</v>
      </c>
      <c r="I106" t="s">
        <v>90</v>
      </c>
      <c r="J106" t="s">
        <v>198</v>
      </c>
      <c r="K106" t="s">
        <v>260</v>
      </c>
      <c r="M106" s="68"/>
      <c r="N106" s="92" t="s">
        <v>457</v>
      </c>
      <c r="V106" s="13"/>
    </row>
    <row r="107" spans="2:22">
      <c r="B107" s="50"/>
      <c r="C107" s="50" t="s">
        <v>458</v>
      </c>
      <c r="D107" s="50" t="s">
        <v>459</v>
      </c>
      <c r="E107" s="50" t="s">
        <v>460</v>
      </c>
      <c r="F107" s="100" t="s">
        <v>87</v>
      </c>
      <c r="G107" t="s">
        <v>187</v>
      </c>
      <c r="H107" t="s">
        <v>89</v>
      </c>
      <c r="I107" t="s">
        <v>90</v>
      </c>
      <c r="J107" t="s">
        <v>198</v>
      </c>
      <c r="K107" t="s">
        <v>260</v>
      </c>
      <c r="M107" s="50"/>
      <c r="N107" s="13" t="s">
        <v>461</v>
      </c>
      <c r="V107" s="13"/>
    </row>
    <row r="108" spans="2:22" ht="30">
      <c r="B108" s="50"/>
      <c r="C108" s="68" t="s">
        <v>462</v>
      </c>
      <c r="D108" s="50" t="s">
        <v>463</v>
      </c>
      <c r="E108" s="113" t="s">
        <v>464</v>
      </c>
      <c r="F108" s="100" t="s">
        <v>87</v>
      </c>
      <c r="G108" t="s">
        <v>88</v>
      </c>
      <c r="H108" t="s">
        <v>89</v>
      </c>
      <c r="I108" t="s">
        <v>90</v>
      </c>
      <c r="J108" t="s">
        <v>91</v>
      </c>
      <c r="K108" t="s">
        <v>465</v>
      </c>
      <c r="M108" s="68"/>
      <c r="N108" s="13" t="s">
        <v>466</v>
      </c>
      <c r="V108" s="13"/>
    </row>
    <row r="109" spans="2:22" ht="30">
      <c r="B109" s="50"/>
      <c r="C109" s="68" t="s">
        <v>467</v>
      </c>
      <c r="D109" s="50" t="s">
        <v>468</v>
      </c>
      <c r="E109" s="114" t="s">
        <v>469</v>
      </c>
      <c r="F109" s="100" t="s">
        <v>87</v>
      </c>
      <c r="G109" t="s">
        <v>88</v>
      </c>
      <c r="H109" t="s">
        <v>89</v>
      </c>
      <c r="I109" t="s">
        <v>90</v>
      </c>
      <c r="J109" t="s">
        <v>91</v>
      </c>
      <c r="K109" t="s">
        <v>465</v>
      </c>
      <c r="M109" s="68"/>
      <c r="N109" s="92" t="s">
        <v>470</v>
      </c>
      <c r="V109" s="13"/>
    </row>
    <row r="110" spans="2:22" ht="30">
      <c r="B110" s="50"/>
      <c r="C110" s="68" t="s">
        <v>471</v>
      </c>
      <c r="D110" s="50" t="s">
        <v>472</v>
      </c>
      <c r="E110" s="114" t="s">
        <v>473</v>
      </c>
      <c r="F110" s="100" t="s">
        <v>87</v>
      </c>
      <c r="G110" t="s">
        <v>88</v>
      </c>
      <c r="H110" t="s">
        <v>89</v>
      </c>
      <c r="I110" t="s">
        <v>90</v>
      </c>
      <c r="J110" t="s">
        <v>91</v>
      </c>
      <c r="K110" t="s">
        <v>465</v>
      </c>
      <c r="M110" s="68"/>
      <c r="N110" s="69" t="s">
        <v>474</v>
      </c>
      <c r="V110" s="13"/>
    </row>
    <row r="111" spans="2:22" ht="30">
      <c r="B111" s="50"/>
      <c r="C111" s="68" t="s">
        <v>475</v>
      </c>
      <c r="D111" s="50" t="s">
        <v>476</v>
      </c>
      <c r="E111" s="114" t="s">
        <v>477</v>
      </c>
      <c r="F111" s="100" t="s">
        <v>87</v>
      </c>
      <c r="G111" t="s">
        <v>88</v>
      </c>
      <c r="H111" t="s">
        <v>89</v>
      </c>
      <c r="I111" t="s">
        <v>90</v>
      </c>
      <c r="J111" t="s">
        <v>91</v>
      </c>
      <c r="K111" t="s">
        <v>465</v>
      </c>
      <c r="M111" s="68"/>
      <c r="N111" s="92" t="s">
        <v>478</v>
      </c>
      <c r="V111" s="13"/>
    </row>
    <row r="112" spans="2:22" ht="30">
      <c r="B112" s="50"/>
      <c r="C112" s="68" t="s">
        <v>479</v>
      </c>
      <c r="D112" s="50" t="s">
        <v>480</v>
      </c>
      <c r="E112" s="114" t="s">
        <v>481</v>
      </c>
      <c r="F112" s="100" t="s">
        <v>87</v>
      </c>
      <c r="G112" t="s">
        <v>88</v>
      </c>
      <c r="H112" t="s">
        <v>89</v>
      </c>
      <c r="I112" t="s">
        <v>90</v>
      </c>
      <c r="J112" t="s">
        <v>91</v>
      </c>
      <c r="K112" t="s">
        <v>465</v>
      </c>
      <c r="M112" s="68"/>
      <c r="N112" s="69" t="s">
        <v>482</v>
      </c>
      <c r="V112" s="13"/>
    </row>
    <row r="113" spans="2:22" ht="30">
      <c r="B113" s="50"/>
      <c r="C113" s="68" t="s">
        <v>483</v>
      </c>
      <c r="D113" s="50" t="s">
        <v>484</v>
      </c>
      <c r="E113" s="115" t="s">
        <v>485</v>
      </c>
      <c r="F113" s="100" t="s">
        <v>87</v>
      </c>
      <c r="G113" t="s">
        <v>88</v>
      </c>
      <c r="H113" t="s">
        <v>89</v>
      </c>
      <c r="I113" t="s">
        <v>90</v>
      </c>
      <c r="J113" t="s">
        <v>91</v>
      </c>
      <c r="K113" t="s">
        <v>465</v>
      </c>
      <c r="M113" s="68"/>
      <c r="N113" s="69" t="s">
        <v>486</v>
      </c>
      <c r="V113" s="13"/>
    </row>
    <row r="114" spans="2:22">
      <c r="B114" s="50"/>
      <c r="C114" s="68" t="s">
        <v>487</v>
      </c>
      <c r="D114" s="50" t="s">
        <v>488</v>
      </c>
      <c r="E114" s="50" t="s">
        <v>489</v>
      </c>
      <c r="F114" s="100" t="s">
        <v>87</v>
      </c>
      <c r="G114" t="s">
        <v>187</v>
      </c>
      <c r="H114" t="s">
        <v>89</v>
      </c>
      <c r="I114" t="s">
        <v>90</v>
      </c>
      <c r="J114" t="s">
        <v>91</v>
      </c>
      <c r="K114" t="s">
        <v>465</v>
      </c>
      <c r="M114" s="68"/>
      <c r="N114" s="96" t="s">
        <v>490</v>
      </c>
      <c r="V114" s="13"/>
    </row>
    <row r="115" spans="2:22">
      <c r="B115" s="50"/>
      <c r="C115" s="68" t="s">
        <v>491</v>
      </c>
      <c r="D115" s="50" t="s">
        <v>492</v>
      </c>
      <c r="E115" s="50" t="s">
        <v>493</v>
      </c>
      <c r="F115" s="100" t="s">
        <v>87</v>
      </c>
      <c r="G115" t="s">
        <v>88</v>
      </c>
      <c r="H115" t="s">
        <v>89</v>
      </c>
      <c r="I115" t="s">
        <v>90</v>
      </c>
      <c r="J115" t="s">
        <v>204</v>
      </c>
      <c r="K115" t="s">
        <v>168</v>
      </c>
      <c r="M115" s="68"/>
      <c r="N115" s="69" t="s">
        <v>494</v>
      </c>
      <c r="V115" s="13"/>
    </row>
    <row r="116" spans="2:22">
      <c r="B116" s="50"/>
      <c r="C116" s="68" t="s">
        <v>495</v>
      </c>
      <c r="D116" s="50" t="s">
        <v>496</v>
      </c>
      <c r="E116" s="50" t="s">
        <v>497</v>
      </c>
      <c r="F116" s="100" t="s">
        <v>87</v>
      </c>
      <c r="G116" t="s">
        <v>88</v>
      </c>
      <c r="H116" t="s">
        <v>89</v>
      </c>
      <c r="I116" t="s">
        <v>90</v>
      </c>
      <c r="J116" t="s">
        <v>204</v>
      </c>
      <c r="K116" t="s">
        <v>168</v>
      </c>
      <c r="M116" s="68"/>
      <c r="N116" s="69" t="s">
        <v>498</v>
      </c>
      <c r="V116" s="13"/>
    </row>
    <row r="117" spans="2:22">
      <c r="B117" s="50"/>
      <c r="C117" s="68" t="s">
        <v>499</v>
      </c>
      <c r="D117" s="50" t="s">
        <v>500</v>
      </c>
      <c r="E117" s="50" t="s">
        <v>501</v>
      </c>
      <c r="F117" s="100" t="s">
        <v>87</v>
      </c>
      <c r="G117" t="s">
        <v>88</v>
      </c>
      <c r="H117" t="s">
        <v>89</v>
      </c>
      <c r="I117" t="s">
        <v>90</v>
      </c>
      <c r="J117" t="s">
        <v>204</v>
      </c>
      <c r="K117" t="s">
        <v>168</v>
      </c>
      <c r="M117" s="68"/>
      <c r="N117" s="69" t="s">
        <v>502</v>
      </c>
      <c r="V117" s="13"/>
    </row>
    <row r="118" spans="2:22">
      <c r="B118" s="50"/>
      <c r="C118" s="68" t="s">
        <v>503</v>
      </c>
      <c r="D118" s="50" t="s">
        <v>504</v>
      </c>
      <c r="E118" s="50" t="s">
        <v>505</v>
      </c>
      <c r="F118" s="100" t="s">
        <v>87</v>
      </c>
      <c r="G118" t="s">
        <v>88</v>
      </c>
      <c r="H118" t="s">
        <v>89</v>
      </c>
      <c r="I118" t="s">
        <v>90</v>
      </c>
      <c r="J118" t="s">
        <v>204</v>
      </c>
      <c r="K118" t="s">
        <v>168</v>
      </c>
      <c r="M118" s="68"/>
      <c r="N118" s="92" t="s">
        <v>506</v>
      </c>
      <c r="V118" s="13"/>
    </row>
    <row r="119" spans="2:22">
      <c r="B119" s="50"/>
      <c r="C119" s="68" t="s">
        <v>507</v>
      </c>
      <c r="D119" s="50" t="s">
        <v>508</v>
      </c>
      <c r="E119" s="50" t="s">
        <v>509</v>
      </c>
      <c r="F119" s="100" t="s">
        <v>87</v>
      </c>
      <c r="G119" t="s">
        <v>88</v>
      </c>
      <c r="H119" t="s">
        <v>89</v>
      </c>
      <c r="I119" t="s">
        <v>90</v>
      </c>
      <c r="J119" t="s">
        <v>204</v>
      </c>
      <c r="K119" t="s">
        <v>168</v>
      </c>
      <c r="M119" s="68"/>
      <c r="N119" s="69" t="s">
        <v>510</v>
      </c>
      <c r="V119" s="13"/>
    </row>
    <row r="120" spans="2:22">
      <c r="B120" s="50"/>
      <c r="C120" s="68" t="s">
        <v>511</v>
      </c>
      <c r="D120" s="50" t="s">
        <v>512</v>
      </c>
      <c r="E120" s="50" t="s">
        <v>513</v>
      </c>
      <c r="F120" s="100" t="s">
        <v>87</v>
      </c>
      <c r="G120" t="s">
        <v>88</v>
      </c>
      <c r="H120" t="s">
        <v>89</v>
      </c>
      <c r="I120" t="s">
        <v>90</v>
      </c>
      <c r="J120" t="s">
        <v>204</v>
      </c>
      <c r="K120" t="s">
        <v>168</v>
      </c>
      <c r="M120" s="68"/>
      <c r="N120" s="92" t="s">
        <v>514</v>
      </c>
      <c r="V120" s="13"/>
    </row>
    <row r="121" spans="2:22" ht="30">
      <c r="B121" s="50"/>
      <c r="C121" s="68" t="s">
        <v>515</v>
      </c>
      <c r="D121" s="50" t="s">
        <v>516</v>
      </c>
      <c r="E121" s="50" t="s">
        <v>517</v>
      </c>
      <c r="F121" s="100" t="s">
        <v>87</v>
      </c>
      <c r="G121" t="s">
        <v>88</v>
      </c>
      <c r="H121" t="s">
        <v>89</v>
      </c>
      <c r="I121" t="s">
        <v>90</v>
      </c>
      <c r="J121" t="s">
        <v>204</v>
      </c>
      <c r="K121" t="s">
        <v>168</v>
      </c>
      <c r="M121" s="68"/>
      <c r="N121" s="92" t="s">
        <v>518</v>
      </c>
      <c r="V121" s="13"/>
    </row>
    <row r="122" spans="2:22">
      <c r="B122" s="50"/>
      <c r="C122" s="68" t="s">
        <v>519</v>
      </c>
      <c r="D122" s="50" t="s">
        <v>520</v>
      </c>
      <c r="E122" s="50" t="s">
        <v>521</v>
      </c>
      <c r="F122" s="100" t="s">
        <v>87</v>
      </c>
      <c r="G122" t="s">
        <v>88</v>
      </c>
      <c r="H122" t="s">
        <v>89</v>
      </c>
      <c r="I122" t="s">
        <v>90</v>
      </c>
      <c r="J122" t="s">
        <v>204</v>
      </c>
      <c r="K122" t="s">
        <v>168</v>
      </c>
      <c r="M122" s="68"/>
      <c r="N122" s="92" t="s">
        <v>522</v>
      </c>
      <c r="V122" s="13"/>
    </row>
    <row r="123" spans="2:22">
      <c r="B123" s="50"/>
      <c r="C123" s="68" t="s">
        <v>523</v>
      </c>
      <c r="D123" s="50" t="s">
        <v>524</v>
      </c>
      <c r="E123" s="50" t="s">
        <v>525</v>
      </c>
      <c r="F123" s="100" t="s">
        <v>87</v>
      </c>
      <c r="G123" t="s">
        <v>88</v>
      </c>
      <c r="H123" t="s">
        <v>89</v>
      </c>
      <c r="I123" t="s">
        <v>90</v>
      </c>
      <c r="J123" t="s">
        <v>204</v>
      </c>
      <c r="K123" t="s">
        <v>168</v>
      </c>
      <c r="M123" s="68"/>
      <c r="N123" s="92" t="s">
        <v>526</v>
      </c>
      <c r="V123" s="13"/>
    </row>
    <row r="124" spans="2:22" ht="30">
      <c r="B124" s="50"/>
      <c r="C124" s="68" t="s">
        <v>527</v>
      </c>
      <c r="D124" s="50" t="s">
        <v>528</v>
      </c>
      <c r="E124" s="50" t="s">
        <v>529</v>
      </c>
      <c r="F124" s="100" t="s">
        <v>87</v>
      </c>
      <c r="G124" t="s">
        <v>88</v>
      </c>
      <c r="H124" t="s">
        <v>89</v>
      </c>
      <c r="I124" t="s">
        <v>90</v>
      </c>
      <c r="J124" t="s">
        <v>204</v>
      </c>
      <c r="K124" t="s">
        <v>168</v>
      </c>
      <c r="M124" s="68"/>
      <c r="N124" s="92" t="s">
        <v>530</v>
      </c>
      <c r="V124" s="13"/>
    </row>
    <row r="125" spans="2:22" ht="30">
      <c r="B125" s="50"/>
      <c r="C125" s="68" t="s">
        <v>531</v>
      </c>
      <c r="D125" s="50" t="s">
        <v>532</v>
      </c>
      <c r="E125" s="50" t="s">
        <v>533</v>
      </c>
      <c r="F125" s="100" t="s">
        <v>87</v>
      </c>
      <c r="G125" t="s">
        <v>88</v>
      </c>
      <c r="H125" t="s">
        <v>89</v>
      </c>
      <c r="I125" t="s">
        <v>90</v>
      </c>
      <c r="J125" t="s">
        <v>204</v>
      </c>
      <c r="K125" t="s">
        <v>168</v>
      </c>
      <c r="M125" s="68"/>
      <c r="N125" s="92" t="s">
        <v>534</v>
      </c>
      <c r="V125" s="13"/>
    </row>
    <row r="126" spans="2:22" ht="30">
      <c r="B126" s="50"/>
      <c r="C126" s="68" t="s">
        <v>535</v>
      </c>
      <c r="D126" s="50" t="s">
        <v>536</v>
      </c>
      <c r="E126" s="50" t="s">
        <v>537</v>
      </c>
      <c r="F126" s="100" t="s">
        <v>87</v>
      </c>
      <c r="G126" t="s">
        <v>187</v>
      </c>
      <c r="H126" t="s">
        <v>89</v>
      </c>
      <c r="I126" t="s">
        <v>90</v>
      </c>
      <c r="J126" t="s">
        <v>204</v>
      </c>
      <c r="K126" t="s">
        <v>168</v>
      </c>
      <c r="M126" s="68"/>
      <c r="N126" s="13" t="s">
        <v>538</v>
      </c>
      <c r="V126" s="13"/>
    </row>
    <row r="127" spans="2:22" ht="30">
      <c r="B127" s="50"/>
      <c r="C127" s="68" t="s">
        <v>539</v>
      </c>
      <c r="D127" s="50" t="s">
        <v>536</v>
      </c>
      <c r="E127" s="50" t="s">
        <v>537</v>
      </c>
      <c r="F127" s="100" t="s">
        <v>87</v>
      </c>
      <c r="G127" t="s">
        <v>187</v>
      </c>
      <c r="H127" t="s">
        <v>89</v>
      </c>
      <c r="I127" t="s">
        <v>90</v>
      </c>
      <c r="J127" t="s">
        <v>204</v>
      </c>
      <c r="K127" t="s">
        <v>168</v>
      </c>
      <c r="M127" s="68"/>
      <c r="N127" s="13" t="s">
        <v>540</v>
      </c>
      <c r="V127" s="13"/>
    </row>
    <row r="128" spans="2:22">
      <c r="B128" s="50"/>
      <c r="C128" s="68" t="s">
        <v>541</v>
      </c>
      <c r="D128" s="50" t="s">
        <v>536</v>
      </c>
      <c r="E128" s="50" t="s">
        <v>537</v>
      </c>
      <c r="F128" s="100" t="s">
        <v>87</v>
      </c>
      <c r="G128" t="s">
        <v>187</v>
      </c>
      <c r="H128" t="s">
        <v>89</v>
      </c>
      <c r="I128" t="s">
        <v>90</v>
      </c>
      <c r="J128" t="s">
        <v>204</v>
      </c>
      <c r="K128" t="s">
        <v>168</v>
      </c>
      <c r="M128" s="68"/>
      <c r="N128" s="13" t="s">
        <v>542</v>
      </c>
      <c r="V128" s="13"/>
    </row>
    <row r="129" spans="2:22">
      <c r="B129" s="50"/>
      <c r="C129" s="68" t="s">
        <v>543</v>
      </c>
      <c r="D129" s="50" t="s">
        <v>536</v>
      </c>
      <c r="E129" s="50" t="s">
        <v>537</v>
      </c>
      <c r="F129" s="100" t="s">
        <v>87</v>
      </c>
      <c r="G129" t="s">
        <v>187</v>
      </c>
      <c r="H129" t="s">
        <v>89</v>
      </c>
      <c r="I129" t="s">
        <v>90</v>
      </c>
      <c r="J129" t="s">
        <v>204</v>
      </c>
      <c r="K129" t="s">
        <v>168</v>
      </c>
      <c r="M129" s="68"/>
      <c r="N129" s="13" t="s">
        <v>544</v>
      </c>
      <c r="V129" s="13"/>
    </row>
    <row r="130" spans="2:22" ht="15.75">
      <c r="B130" s="50"/>
      <c r="C130" s="68" t="s">
        <v>545</v>
      </c>
      <c r="D130" s="50" t="s">
        <v>536</v>
      </c>
      <c r="E130" s="50" t="s">
        <v>537</v>
      </c>
      <c r="F130" s="100" t="s">
        <v>87</v>
      </c>
      <c r="G130" t="s">
        <v>187</v>
      </c>
      <c r="H130" t="s">
        <v>89</v>
      </c>
      <c r="I130" t="s">
        <v>90</v>
      </c>
      <c r="J130" t="s">
        <v>204</v>
      </c>
      <c r="K130" t="s">
        <v>168</v>
      </c>
      <c r="M130" s="68"/>
      <c r="N130" s="110" t="s">
        <v>546</v>
      </c>
      <c r="V130" s="13"/>
    </row>
    <row r="131" spans="2:22" ht="15.75">
      <c r="B131" s="50"/>
      <c r="C131" s="68" t="s">
        <v>547</v>
      </c>
      <c r="D131" s="50" t="s">
        <v>536</v>
      </c>
      <c r="E131" s="50" t="s">
        <v>537</v>
      </c>
      <c r="F131" s="100" t="s">
        <v>87</v>
      </c>
      <c r="G131" t="s">
        <v>187</v>
      </c>
      <c r="H131" t="s">
        <v>89</v>
      </c>
      <c r="I131" t="s">
        <v>90</v>
      </c>
      <c r="J131" t="s">
        <v>204</v>
      </c>
      <c r="K131" t="s">
        <v>168</v>
      </c>
      <c r="M131" s="68"/>
      <c r="N131" s="110" t="s">
        <v>548</v>
      </c>
      <c r="V131" s="13"/>
    </row>
    <row r="132" spans="2:22" ht="15.75">
      <c r="B132" s="50"/>
      <c r="C132" s="68" t="s">
        <v>549</v>
      </c>
      <c r="D132" s="50" t="s">
        <v>536</v>
      </c>
      <c r="E132" s="50" t="s">
        <v>537</v>
      </c>
      <c r="F132" s="100" t="s">
        <v>87</v>
      </c>
      <c r="G132" t="s">
        <v>187</v>
      </c>
      <c r="H132" t="s">
        <v>89</v>
      </c>
      <c r="I132" t="s">
        <v>90</v>
      </c>
      <c r="J132" t="s">
        <v>204</v>
      </c>
      <c r="K132" t="s">
        <v>168</v>
      </c>
      <c r="M132" s="68"/>
      <c r="N132" s="111" t="s">
        <v>550</v>
      </c>
      <c r="V132" s="13"/>
    </row>
    <row r="133" spans="2:22" ht="15.75">
      <c r="B133" s="50"/>
      <c r="C133" s="68" t="s">
        <v>551</v>
      </c>
      <c r="D133" s="50" t="s">
        <v>536</v>
      </c>
      <c r="E133" s="50" t="s">
        <v>537</v>
      </c>
      <c r="F133" s="100" t="s">
        <v>87</v>
      </c>
      <c r="G133" t="s">
        <v>187</v>
      </c>
      <c r="H133" t="s">
        <v>89</v>
      </c>
      <c r="I133" t="s">
        <v>90</v>
      </c>
      <c r="J133" t="s">
        <v>204</v>
      </c>
      <c r="K133" t="s">
        <v>168</v>
      </c>
      <c r="M133" s="68"/>
      <c r="N133" s="110" t="s">
        <v>552</v>
      </c>
      <c r="V133" s="13"/>
    </row>
    <row r="134" spans="2:22" ht="63">
      <c r="B134" s="50"/>
      <c r="C134" s="68" t="s">
        <v>553</v>
      </c>
      <c r="D134" s="50" t="s">
        <v>536</v>
      </c>
      <c r="E134" s="50" t="s">
        <v>537</v>
      </c>
      <c r="F134" s="100" t="s">
        <v>87</v>
      </c>
      <c r="G134" t="s">
        <v>187</v>
      </c>
      <c r="H134" t="s">
        <v>89</v>
      </c>
      <c r="I134" t="s">
        <v>90</v>
      </c>
      <c r="J134" t="s">
        <v>204</v>
      </c>
      <c r="K134" t="s">
        <v>168</v>
      </c>
      <c r="M134" s="68"/>
      <c r="N134" s="111" t="s">
        <v>554</v>
      </c>
      <c r="V134" s="13"/>
    </row>
    <row r="135" spans="2:22" ht="15.75">
      <c r="B135" s="50"/>
      <c r="C135" s="68" t="s">
        <v>555</v>
      </c>
      <c r="D135" s="50" t="s">
        <v>536</v>
      </c>
      <c r="E135" s="50" t="s">
        <v>537</v>
      </c>
      <c r="F135" s="100" t="s">
        <v>87</v>
      </c>
      <c r="G135" t="s">
        <v>187</v>
      </c>
      <c r="H135" t="s">
        <v>89</v>
      </c>
      <c r="I135" t="s">
        <v>90</v>
      </c>
      <c r="J135" t="s">
        <v>204</v>
      </c>
      <c r="K135" t="s">
        <v>168</v>
      </c>
      <c r="M135" s="68"/>
      <c r="N135" s="110" t="s">
        <v>556</v>
      </c>
      <c r="V135" s="13"/>
    </row>
    <row r="136" spans="2:22">
      <c r="B136" s="50"/>
      <c r="C136" s="50" t="s">
        <v>557</v>
      </c>
      <c r="D136" s="50" t="s">
        <v>558</v>
      </c>
      <c r="E136" s="50" t="s">
        <v>559</v>
      </c>
      <c r="F136" s="100" t="s">
        <v>87</v>
      </c>
      <c r="G136" t="s">
        <v>187</v>
      </c>
      <c r="H136" t="s">
        <v>89</v>
      </c>
      <c r="I136" t="s">
        <v>90</v>
      </c>
      <c r="J136" t="s">
        <v>204</v>
      </c>
      <c r="K136" t="s">
        <v>168</v>
      </c>
      <c r="M136" s="50"/>
      <c r="N136" s="107" t="s">
        <v>560</v>
      </c>
      <c r="V136" s="13"/>
    </row>
    <row r="137" spans="2:22" ht="30">
      <c r="B137" s="50"/>
      <c r="C137" s="50" t="s">
        <v>561</v>
      </c>
      <c r="D137" s="50" t="s">
        <v>562</v>
      </c>
      <c r="E137" s="50" t="s">
        <v>563</v>
      </c>
      <c r="F137" s="100" t="s">
        <v>87</v>
      </c>
      <c r="G137" t="s">
        <v>88</v>
      </c>
      <c r="H137" t="s">
        <v>89</v>
      </c>
      <c r="I137" t="s">
        <v>90</v>
      </c>
      <c r="J137" t="s">
        <v>204</v>
      </c>
      <c r="K137" t="s">
        <v>168</v>
      </c>
      <c r="M137" s="50"/>
      <c r="N137" s="96" t="s">
        <v>564</v>
      </c>
      <c r="V137" s="13"/>
    </row>
    <row r="138" spans="2:22" ht="30">
      <c r="B138" s="50"/>
      <c r="C138" s="50" t="s">
        <v>565</v>
      </c>
      <c r="D138" s="50" t="s">
        <v>566</v>
      </c>
      <c r="E138" s="50" t="s">
        <v>567</v>
      </c>
      <c r="F138" s="100" t="s">
        <v>87</v>
      </c>
      <c r="G138" t="s">
        <v>88</v>
      </c>
      <c r="H138" t="s">
        <v>89</v>
      </c>
      <c r="I138" t="s">
        <v>90</v>
      </c>
      <c r="J138" t="s">
        <v>204</v>
      </c>
      <c r="K138" t="s">
        <v>168</v>
      </c>
      <c r="M138" s="50"/>
      <c r="N138" s="13" t="s">
        <v>568</v>
      </c>
      <c r="V138" s="13"/>
    </row>
    <row r="139" spans="2:22" ht="30">
      <c r="B139" s="50"/>
      <c r="C139" s="68" t="s">
        <v>569</v>
      </c>
      <c r="D139" s="50" t="s">
        <v>570</v>
      </c>
      <c r="E139" s="50" t="s">
        <v>571</v>
      </c>
      <c r="F139" s="100" t="s">
        <v>87</v>
      </c>
      <c r="G139" t="s">
        <v>187</v>
      </c>
      <c r="H139" t="s">
        <v>89</v>
      </c>
      <c r="I139" t="s">
        <v>90</v>
      </c>
      <c r="J139" t="s">
        <v>198</v>
      </c>
      <c r="K139" t="s">
        <v>260</v>
      </c>
      <c r="M139" s="68"/>
      <c r="N139" s="13" t="s">
        <v>572</v>
      </c>
      <c r="V139" s="13"/>
    </row>
    <row r="140" spans="2:22" ht="30">
      <c r="B140" s="50"/>
      <c r="C140" s="68" t="s">
        <v>573</v>
      </c>
      <c r="D140" s="50" t="s">
        <v>574</v>
      </c>
      <c r="E140" s="68" t="s">
        <v>575</v>
      </c>
      <c r="F140" s="100" t="s">
        <v>87</v>
      </c>
      <c r="G140" t="s">
        <v>187</v>
      </c>
      <c r="H140" t="s">
        <v>89</v>
      </c>
      <c r="I140" t="s">
        <v>90</v>
      </c>
      <c r="J140" t="s">
        <v>198</v>
      </c>
      <c r="K140" t="s">
        <v>260</v>
      </c>
      <c r="M140" s="68"/>
      <c r="N140" s="13" t="s">
        <v>576</v>
      </c>
      <c r="V140" s="13"/>
    </row>
    <row r="141" spans="2:22" ht="30">
      <c r="B141" s="50"/>
      <c r="C141" s="50" t="s">
        <v>577</v>
      </c>
      <c r="D141" s="50" t="s">
        <v>578</v>
      </c>
      <c r="E141" s="50" t="s">
        <v>579</v>
      </c>
      <c r="F141" s="100" t="s">
        <v>87</v>
      </c>
      <c r="G141" t="s">
        <v>88</v>
      </c>
      <c r="H141" t="s">
        <v>89</v>
      </c>
      <c r="I141" t="s">
        <v>90</v>
      </c>
      <c r="J141" t="s">
        <v>204</v>
      </c>
      <c r="K141" t="s">
        <v>168</v>
      </c>
      <c r="M141" s="50"/>
      <c r="N141" s="13" t="s">
        <v>580</v>
      </c>
      <c r="V141" s="13"/>
    </row>
    <row r="142" spans="2:22" ht="30">
      <c r="B142" s="50"/>
      <c r="C142" s="50" t="s">
        <v>581</v>
      </c>
      <c r="D142" s="50" t="s">
        <v>582</v>
      </c>
      <c r="E142" s="50" t="s">
        <v>583</v>
      </c>
      <c r="F142" s="100" t="s">
        <v>87</v>
      </c>
      <c r="G142" t="s">
        <v>88</v>
      </c>
      <c r="H142" t="s">
        <v>89</v>
      </c>
      <c r="I142" t="s">
        <v>90</v>
      </c>
      <c r="J142" t="s">
        <v>204</v>
      </c>
      <c r="K142" t="s">
        <v>168</v>
      </c>
      <c r="M142" s="50"/>
      <c r="N142" s="13" t="s">
        <v>584</v>
      </c>
      <c r="V142" s="13"/>
    </row>
    <row r="143" spans="2:22" ht="30">
      <c r="B143" s="50"/>
      <c r="C143" s="50" t="s">
        <v>585</v>
      </c>
      <c r="D143" s="50" t="s">
        <v>586</v>
      </c>
      <c r="E143" s="50" t="s">
        <v>587</v>
      </c>
      <c r="F143" s="100" t="s">
        <v>87</v>
      </c>
      <c r="G143" t="s">
        <v>88</v>
      </c>
      <c r="H143" t="s">
        <v>89</v>
      </c>
      <c r="I143" t="s">
        <v>90</v>
      </c>
      <c r="J143" t="s">
        <v>204</v>
      </c>
      <c r="K143" t="s">
        <v>168</v>
      </c>
      <c r="M143" s="50"/>
      <c r="N143" s="13" t="s">
        <v>588</v>
      </c>
      <c r="V143" s="13"/>
    </row>
    <row r="144" spans="2:22" ht="30">
      <c r="B144" s="50"/>
      <c r="C144" s="50" t="s">
        <v>589</v>
      </c>
      <c r="D144" s="50" t="s">
        <v>590</v>
      </c>
      <c r="E144" s="50" t="s">
        <v>591</v>
      </c>
      <c r="F144" s="100" t="s">
        <v>87</v>
      </c>
      <c r="G144" t="s">
        <v>88</v>
      </c>
      <c r="H144" t="s">
        <v>89</v>
      </c>
      <c r="I144" t="s">
        <v>90</v>
      </c>
      <c r="J144" t="s">
        <v>204</v>
      </c>
      <c r="K144" t="s">
        <v>168</v>
      </c>
      <c r="M144" s="50"/>
      <c r="N144" s="13" t="s">
        <v>592</v>
      </c>
      <c r="V144" s="13"/>
    </row>
    <row r="145" spans="2:22" ht="58.5" customHeight="1">
      <c r="B145" s="50"/>
      <c r="C145" s="50" t="s">
        <v>593</v>
      </c>
      <c r="D145" s="50" t="s">
        <v>594</v>
      </c>
      <c r="E145" s="50" t="s">
        <v>595</v>
      </c>
      <c r="F145" s="100" t="s">
        <v>87</v>
      </c>
      <c r="G145" t="s">
        <v>88</v>
      </c>
      <c r="H145" t="s">
        <v>89</v>
      </c>
      <c r="I145" t="s">
        <v>90</v>
      </c>
      <c r="J145" t="s">
        <v>204</v>
      </c>
      <c r="K145" t="s">
        <v>168</v>
      </c>
      <c r="M145" s="50"/>
      <c r="N145" s="92" t="s">
        <v>596</v>
      </c>
      <c r="V145" s="13"/>
    </row>
    <row r="146" spans="2:22" ht="36.6" customHeight="1">
      <c r="B146" s="50"/>
      <c r="C146" s="50" t="s">
        <v>597</v>
      </c>
      <c r="D146" s="50" t="s">
        <v>598</v>
      </c>
      <c r="E146" s="50" t="s">
        <v>599</v>
      </c>
      <c r="F146" s="100" t="s">
        <v>87</v>
      </c>
      <c r="G146" t="s">
        <v>88</v>
      </c>
      <c r="H146" t="s">
        <v>89</v>
      </c>
      <c r="I146" t="s">
        <v>90</v>
      </c>
      <c r="J146" t="s">
        <v>204</v>
      </c>
      <c r="K146" t="s">
        <v>168</v>
      </c>
      <c r="M146" s="50"/>
      <c r="N146" s="92" t="s">
        <v>600</v>
      </c>
      <c r="V146" s="13"/>
    </row>
    <row r="147" spans="2:22" ht="37.5" customHeight="1">
      <c r="B147" s="50"/>
      <c r="C147" s="50" t="s">
        <v>601</v>
      </c>
      <c r="D147" s="50" t="s">
        <v>602</v>
      </c>
      <c r="E147" s="50" t="s">
        <v>603</v>
      </c>
      <c r="F147" s="100" t="s">
        <v>87</v>
      </c>
      <c r="G147" t="s">
        <v>88</v>
      </c>
      <c r="H147" t="s">
        <v>89</v>
      </c>
      <c r="I147" t="s">
        <v>90</v>
      </c>
      <c r="J147" t="s">
        <v>204</v>
      </c>
      <c r="K147" t="s">
        <v>168</v>
      </c>
      <c r="M147" s="50"/>
      <c r="N147" s="92" t="s">
        <v>604</v>
      </c>
      <c r="V147" s="13"/>
    </row>
    <row r="148" spans="2:22" ht="35.1" customHeight="1">
      <c r="B148" s="50"/>
      <c r="C148" s="50" t="s">
        <v>605</v>
      </c>
      <c r="D148" s="50" t="s">
        <v>606</v>
      </c>
      <c r="E148" s="50" t="s">
        <v>607</v>
      </c>
      <c r="F148" s="100" t="s">
        <v>87</v>
      </c>
      <c r="G148" t="s">
        <v>88</v>
      </c>
      <c r="H148" t="s">
        <v>89</v>
      </c>
      <c r="I148" t="s">
        <v>90</v>
      </c>
      <c r="J148" t="s">
        <v>204</v>
      </c>
      <c r="K148" t="s">
        <v>168</v>
      </c>
      <c r="M148" s="50"/>
      <c r="N148" s="69" t="s">
        <v>608</v>
      </c>
      <c r="V148" s="13"/>
    </row>
    <row r="149" spans="2:22">
      <c r="B149" s="50"/>
      <c r="C149" s="50" t="s">
        <v>609</v>
      </c>
      <c r="D149" s="50" t="s">
        <v>610</v>
      </c>
      <c r="E149" s="50" t="s">
        <v>611</v>
      </c>
      <c r="F149" s="100" t="s">
        <v>87</v>
      </c>
      <c r="G149" t="s">
        <v>88</v>
      </c>
      <c r="H149" t="s">
        <v>89</v>
      </c>
      <c r="I149" t="s">
        <v>90</v>
      </c>
      <c r="J149" t="s">
        <v>204</v>
      </c>
      <c r="K149" t="s">
        <v>168</v>
      </c>
      <c r="M149" s="50"/>
      <c r="N149" s="92" t="s">
        <v>612</v>
      </c>
      <c r="V149" s="13"/>
    </row>
    <row r="150" spans="2:22" ht="33" customHeight="1">
      <c r="B150" s="50"/>
      <c r="C150" s="50" t="s">
        <v>613</v>
      </c>
      <c r="D150" s="50" t="s">
        <v>614</v>
      </c>
      <c r="E150" s="50" t="s">
        <v>615</v>
      </c>
      <c r="F150" s="100" t="s">
        <v>87</v>
      </c>
      <c r="G150" t="s">
        <v>88</v>
      </c>
      <c r="H150" t="s">
        <v>89</v>
      </c>
      <c r="I150" t="s">
        <v>90</v>
      </c>
      <c r="J150" t="s">
        <v>204</v>
      </c>
      <c r="K150" t="s">
        <v>168</v>
      </c>
      <c r="M150" s="50"/>
      <c r="N150" s="69" t="s">
        <v>616</v>
      </c>
      <c r="V150" s="13"/>
    </row>
    <row r="151" spans="2:22" ht="30.6" customHeight="1">
      <c r="B151" s="50"/>
      <c r="C151" s="50" t="s">
        <v>617</v>
      </c>
      <c r="D151" s="50" t="s">
        <v>618</v>
      </c>
      <c r="E151" s="50" t="s">
        <v>619</v>
      </c>
      <c r="F151" s="100" t="s">
        <v>87</v>
      </c>
      <c r="G151" t="s">
        <v>149</v>
      </c>
      <c r="H151" t="s">
        <v>89</v>
      </c>
      <c r="I151" t="s">
        <v>90</v>
      </c>
      <c r="J151" t="s">
        <v>204</v>
      </c>
      <c r="K151" t="s">
        <v>168</v>
      </c>
      <c r="M151" s="50"/>
      <c r="N151" s="92" t="s">
        <v>620</v>
      </c>
      <c r="R151">
        <v>0</v>
      </c>
      <c r="S151">
        <v>0</v>
      </c>
      <c r="T151">
        <v>9</v>
      </c>
      <c r="U151">
        <v>9</v>
      </c>
      <c r="V151" s="13"/>
    </row>
    <row r="152" spans="2:22">
      <c r="B152" s="50"/>
      <c r="C152" s="50" t="s">
        <v>621</v>
      </c>
      <c r="D152" s="50" t="s">
        <v>622</v>
      </c>
      <c r="E152" s="50" t="s">
        <v>623</v>
      </c>
      <c r="F152" s="100" t="s">
        <v>87</v>
      </c>
      <c r="G152" t="s">
        <v>149</v>
      </c>
      <c r="H152" t="s">
        <v>89</v>
      </c>
      <c r="I152" t="s">
        <v>90</v>
      </c>
      <c r="J152" t="s">
        <v>204</v>
      </c>
      <c r="K152" t="s">
        <v>168</v>
      </c>
      <c r="M152" s="50"/>
      <c r="N152" s="92" t="s">
        <v>624</v>
      </c>
      <c r="R152">
        <v>0</v>
      </c>
      <c r="S152">
        <v>0</v>
      </c>
      <c r="T152">
        <v>11</v>
      </c>
      <c r="U152">
        <v>11</v>
      </c>
      <c r="V152" s="13"/>
    </row>
    <row r="153" spans="2:22" ht="32.450000000000003" customHeight="1">
      <c r="B153" s="50"/>
      <c r="C153" s="50" t="s">
        <v>625</v>
      </c>
      <c r="D153" s="50" t="s">
        <v>626</v>
      </c>
      <c r="E153" s="50" t="s">
        <v>627</v>
      </c>
      <c r="F153" s="100" t="s">
        <v>87</v>
      </c>
      <c r="G153" t="s">
        <v>149</v>
      </c>
      <c r="H153" t="s">
        <v>89</v>
      </c>
      <c r="I153" t="s">
        <v>90</v>
      </c>
      <c r="J153" t="s">
        <v>204</v>
      </c>
      <c r="K153" t="s">
        <v>168</v>
      </c>
      <c r="M153" s="50"/>
      <c r="N153" s="69" t="s">
        <v>628</v>
      </c>
      <c r="R153">
        <v>0</v>
      </c>
      <c r="S153">
        <v>0</v>
      </c>
      <c r="T153">
        <v>11</v>
      </c>
      <c r="U153">
        <v>11</v>
      </c>
      <c r="V153" s="13"/>
    </row>
    <row r="154" spans="2:22">
      <c r="B154" s="50"/>
      <c r="C154" s="50" t="s">
        <v>629</v>
      </c>
      <c r="D154" s="50" t="s">
        <v>630</v>
      </c>
      <c r="E154" s="50" t="s">
        <v>631</v>
      </c>
      <c r="F154" s="100" t="s">
        <v>87</v>
      </c>
      <c r="G154" t="s">
        <v>149</v>
      </c>
      <c r="H154" t="s">
        <v>89</v>
      </c>
      <c r="I154" t="s">
        <v>90</v>
      </c>
      <c r="J154" t="s">
        <v>204</v>
      </c>
      <c r="K154" t="s">
        <v>632</v>
      </c>
      <c r="M154" s="50"/>
      <c r="N154" s="92" t="s">
        <v>633</v>
      </c>
      <c r="R154">
        <v>0</v>
      </c>
      <c r="S154">
        <v>0</v>
      </c>
      <c r="T154">
        <v>11</v>
      </c>
      <c r="U154">
        <v>11</v>
      </c>
      <c r="V154" s="13"/>
    </row>
    <row r="155" spans="2:22">
      <c r="B155" s="50"/>
      <c r="C155" s="50" t="s">
        <v>634</v>
      </c>
      <c r="D155" s="50" t="s">
        <v>635</v>
      </c>
      <c r="E155" s="50" t="s">
        <v>636</v>
      </c>
      <c r="F155" s="100" t="s">
        <v>87</v>
      </c>
      <c r="G155" t="s">
        <v>149</v>
      </c>
      <c r="H155" t="s">
        <v>89</v>
      </c>
      <c r="I155" t="s">
        <v>90</v>
      </c>
      <c r="J155" t="s">
        <v>204</v>
      </c>
      <c r="K155" t="s">
        <v>637</v>
      </c>
      <c r="M155" s="50"/>
      <c r="N155" s="92" t="s">
        <v>638</v>
      </c>
      <c r="R155">
        <v>0</v>
      </c>
      <c r="S155">
        <v>0</v>
      </c>
      <c r="T155">
        <v>11</v>
      </c>
      <c r="U155">
        <v>11</v>
      </c>
      <c r="V155" s="13"/>
    </row>
    <row r="156" spans="2:22">
      <c r="B156" s="50"/>
      <c r="C156" s="50" t="s">
        <v>639</v>
      </c>
      <c r="D156" s="50" t="s">
        <v>640</v>
      </c>
      <c r="E156" s="50" t="s">
        <v>641</v>
      </c>
      <c r="F156" s="100" t="s">
        <v>87</v>
      </c>
      <c r="G156" t="s">
        <v>149</v>
      </c>
      <c r="H156" t="s">
        <v>89</v>
      </c>
      <c r="I156" t="s">
        <v>90</v>
      </c>
      <c r="J156" t="s">
        <v>204</v>
      </c>
      <c r="K156" t="s">
        <v>637</v>
      </c>
      <c r="M156" s="50"/>
      <c r="N156" s="92" t="s">
        <v>642</v>
      </c>
      <c r="R156">
        <v>0</v>
      </c>
      <c r="S156">
        <v>0</v>
      </c>
      <c r="T156">
        <v>11</v>
      </c>
      <c r="U156">
        <v>11</v>
      </c>
      <c r="V156" s="13"/>
    </row>
    <row r="157" spans="2:22">
      <c r="B157" s="50"/>
      <c r="C157" s="50" t="s">
        <v>643</v>
      </c>
      <c r="D157" s="50" t="s">
        <v>644</v>
      </c>
      <c r="E157" s="50" t="s">
        <v>645</v>
      </c>
      <c r="F157" s="100" t="s">
        <v>87</v>
      </c>
      <c r="G157" t="s">
        <v>149</v>
      </c>
      <c r="H157" t="s">
        <v>89</v>
      </c>
      <c r="I157" t="s">
        <v>90</v>
      </c>
      <c r="J157" t="s">
        <v>204</v>
      </c>
      <c r="K157" t="s">
        <v>168</v>
      </c>
      <c r="M157" s="50"/>
      <c r="N157" s="92" t="s">
        <v>646</v>
      </c>
      <c r="R157">
        <v>0</v>
      </c>
      <c r="S157">
        <v>0</v>
      </c>
      <c r="T157">
        <v>11</v>
      </c>
      <c r="U157">
        <v>11</v>
      </c>
      <c r="V157" s="13"/>
    </row>
    <row r="158" spans="2:22" ht="30">
      <c r="B158" s="50"/>
      <c r="C158" s="50" t="s">
        <v>647</v>
      </c>
      <c r="D158" s="50" t="s">
        <v>648</v>
      </c>
      <c r="E158" s="50" t="s">
        <v>649</v>
      </c>
      <c r="F158" s="100" t="s">
        <v>87</v>
      </c>
      <c r="G158" t="s">
        <v>149</v>
      </c>
      <c r="H158" t="s">
        <v>89</v>
      </c>
      <c r="I158" t="s">
        <v>90</v>
      </c>
      <c r="J158" t="s">
        <v>650</v>
      </c>
      <c r="K158" t="s">
        <v>651</v>
      </c>
      <c r="M158" s="50"/>
      <c r="N158" s="92" t="s">
        <v>652</v>
      </c>
      <c r="R158">
        <v>0</v>
      </c>
      <c r="S158">
        <v>0</v>
      </c>
      <c r="T158">
        <v>11</v>
      </c>
      <c r="U158">
        <v>11</v>
      </c>
      <c r="V158" s="13"/>
    </row>
    <row r="159" spans="2:22">
      <c r="B159" s="50"/>
      <c r="C159" s="50" t="s">
        <v>653</v>
      </c>
      <c r="D159" s="50" t="s">
        <v>654</v>
      </c>
      <c r="E159" s="50" t="s">
        <v>655</v>
      </c>
      <c r="F159" s="100" t="s">
        <v>87</v>
      </c>
      <c r="G159" t="s">
        <v>149</v>
      </c>
      <c r="H159" t="s">
        <v>89</v>
      </c>
      <c r="I159" t="s">
        <v>90</v>
      </c>
      <c r="J159" t="s">
        <v>204</v>
      </c>
      <c r="K159" t="s">
        <v>168</v>
      </c>
      <c r="M159" s="50"/>
      <c r="N159" s="92" t="s">
        <v>656</v>
      </c>
      <c r="R159">
        <v>0</v>
      </c>
      <c r="S159">
        <v>0</v>
      </c>
      <c r="T159">
        <v>11</v>
      </c>
      <c r="U159">
        <v>11</v>
      </c>
      <c r="V159" s="13"/>
    </row>
    <row r="160" spans="2:22">
      <c r="B160" s="50"/>
      <c r="C160" s="50" t="s">
        <v>657</v>
      </c>
      <c r="D160" s="50" t="s">
        <v>658</v>
      </c>
      <c r="E160" s="50" t="s">
        <v>659</v>
      </c>
      <c r="F160" s="100" t="s">
        <v>87</v>
      </c>
      <c r="G160" t="s">
        <v>149</v>
      </c>
      <c r="H160" t="s">
        <v>89</v>
      </c>
      <c r="I160" t="s">
        <v>90</v>
      </c>
      <c r="J160" t="s">
        <v>204</v>
      </c>
      <c r="K160" t="s">
        <v>168</v>
      </c>
      <c r="M160" s="50"/>
      <c r="N160" s="92" t="s">
        <v>660</v>
      </c>
      <c r="R160">
        <v>0</v>
      </c>
      <c r="S160">
        <v>0</v>
      </c>
      <c r="T160">
        <v>11</v>
      </c>
      <c r="U160">
        <v>11</v>
      </c>
      <c r="V160" s="13"/>
    </row>
    <row r="161" spans="2:22">
      <c r="B161" s="50"/>
      <c r="C161" s="50" t="s">
        <v>661</v>
      </c>
      <c r="D161" s="50" t="s">
        <v>662</v>
      </c>
      <c r="E161" s="50" t="s">
        <v>663</v>
      </c>
      <c r="F161" s="100" t="s">
        <v>87</v>
      </c>
      <c r="G161" t="s">
        <v>149</v>
      </c>
      <c r="H161" t="s">
        <v>89</v>
      </c>
      <c r="I161" t="s">
        <v>90</v>
      </c>
      <c r="J161" t="s">
        <v>204</v>
      </c>
      <c r="K161" t="s">
        <v>168</v>
      </c>
      <c r="M161" s="50"/>
      <c r="N161" s="92" t="s">
        <v>664</v>
      </c>
      <c r="R161">
        <v>0</v>
      </c>
      <c r="S161">
        <v>0</v>
      </c>
      <c r="T161">
        <v>9</v>
      </c>
      <c r="U161">
        <v>9</v>
      </c>
      <c r="V161" s="13"/>
    </row>
    <row r="162" spans="2:22">
      <c r="B162" s="50"/>
      <c r="C162" s="50" t="s">
        <v>665</v>
      </c>
      <c r="D162" s="50" t="s">
        <v>666</v>
      </c>
      <c r="E162" s="50" t="s">
        <v>667</v>
      </c>
      <c r="F162" s="100" t="s">
        <v>87</v>
      </c>
      <c r="G162" t="s">
        <v>149</v>
      </c>
      <c r="H162" t="s">
        <v>89</v>
      </c>
      <c r="I162" t="s">
        <v>90</v>
      </c>
      <c r="J162" t="s">
        <v>204</v>
      </c>
      <c r="K162" t="s">
        <v>168</v>
      </c>
      <c r="M162" s="50"/>
      <c r="N162" s="97" t="s">
        <v>668</v>
      </c>
      <c r="R162">
        <v>0</v>
      </c>
      <c r="S162">
        <v>0</v>
      </c>
      <c r="T162">
        <v>11</v>
      </c>
      <c r="U162">
        <v>11</v>
      </c>
      <c r="V162" s="13"/>
    </row>
    <row r="163" spans="2:22">
      <c r="B163" s="50"/>
      <c r="C163" s="50" t="s">
        <v>669</v>
      </c>
      <c r="D163" s="50" t="s">
        <v>670</v>
      </c>
      <c r="E163" s="50" t="s">
        <v>671</v>
      </c>
      <c r="F163" s="100" t="s">
        <v>87</v>
      </c>
      <c r="G163" t="s">
        <v>149</v>
      </c>
      <c r="H163" t="s">
        <v>89</v>
      </c>
      <c r="I163" t="s">
        <v>90</v>
      </c>
      <c r="J163" t="s">
        <v>204</v>
      </c>
      <c r="K163" t="s">
        <v>168</v>
      </c>
      <c r="M163" s="50"/>
      <c r="N163" s="92" t="s">
        <v>672</v>
      </c>
      <c r="R163">
        <v>0</v>
      </c>
      <c r="S163">
        <v>0</v>
      </c>
      <c r="T163">
        <v>11</v>
      </c>
      <c r="U163">
        <v>11</v>
      </c>
      <c r="V163" s="13"/>
    </row>
    <row r="164" spans="2:22">
      <c r="B164" s="50"/>
      <c r="C164" s="50" t="s">
        <v>673</v>
      </c>
      <c r="D164" s="50" t="s">
        <v>674</v>
      </c>
      <c r="E164" s="50" t="s">
        <v>675</v>
      </c>
      <c r="F164" s="100" t="s">
        <v>87</v>
      </c>
      <c r="G164" t="s">
        <v>149</v>
      </c>
      <c r="H164" t="s">
        <v>89</v>
      </c>
      <c r="I164" t="s">
        <v>90</v>
      </c>
      <c r="J164" t="s">
        <v>204</v>
      </c>
      <c r="K164" t="s">
        <v>168</v>
      </c>
      <c r="M164" s="50"/>
      <c r="N164" s="92" t="s">
        <v>676</v>
      </c>
      <c r="R164">
        <v>0</v>
      </c>
      <c r="S164">
        <v>0</v>
      </c>
      <c r="T164">
        <v>11</v>
      </c>
      <c r="U164">
        <v>11</v>
      </c>
      <c r="V164" s="13"/>
    </row>
    <row r="165" spans="2:22">
      <c r="B165" s="50"/>
      <c r="C165" s="50" t="s">
        <v>677</v>
      </c>
      <c r="D165" s="50" t="s">
        <v>678</v>
      </c>
      <c r="E165" s="50" t="s">
        <v>679</v>
      </c>
      <c r="F165" s="100" t="s">
        <v>87</v>
      </c>
      <c r="G165" t="s">
        <v>149</v>
      </c>
      <c r="H165" t="s">
        <v>89</v>
      </c>
      <c r="I165" t="s">
        <v>90</v>
      </c>
      <c r="J165" t="s">
        <v>204</v>
      </c>
      <c r="K165" t="s">
        <v>168</v>
      </c>
      <c r="M165" s="50"/>
      <c r="N165" s="92" t="s">
        <v>680</v>
      </c>
      <c r="R165">
        <v>0</v>
      </c>
      <c r="S165">
        <v>0</v>
      </c>
      <c r="T165">
        <v>11</v>
      </c>
      <c r="U165">
        <v>11</v>
      </c>
      <c r="V165" s="13"/>
    </row>
    <row r="166" spans="2:22">
      <c r="B166" s="50"/>
      <c r="C166" s="50" t="s">
        <v>681</v>
      </c>
      <c r="D166" s="50" t="s">
        <v>682</v>
      </c>
      <c r="E166" s="50" t="s">
        <v>683</v>
      </c>
      <c r="F166" s="100" t="s">
        <v>87</v>
      </c>
      <c r="G166" t="s">
        <v>149</v>
      </c>
      <c r="H166" t="s">
        <v>89</v>
      </c>
      <c r="I166" t="s">
        <v>90</v>
      </c>
      <c r="J166" t="s">
        <v>204</v>
      </c>
      <c r="K166" t="s">
        <v>168</v>
      </c>
      <c r="M166" s="50"/>
      <c r="N166" s="92" t="s">
        <v>684</v>
      </c>
      <c r="R166">
        <v>0</v>
      </c>
      <c r="S166">
        <v>0</v>
      </c>
      <c r="T166">
        <v>11</v>
      </c>
      <c r="U166">
        <v>11</v>
      </c>
      <c r="V166" s="13"/>
    </row>
    <row r="167" spans="2:22">
      <c r="B167" s="50"/>
      <c r="C167" s="50" t="s">
        <v>685</v>
      </c>
      <c r="D167" s="50" t="s">
        <v>686</v>
      </c>
      <c r="E167" s="50" t="s">
        <v>687</v>
      </c>
      <c r="F167" s="100" t="s">
        <v>87</v>
      </c>
      <c r="G167" t="s">
        <v>149</v>
      </c>
      <c r="H167" t="s">
        <v>89</v>
      </c>
      <c r="I167" t="s">
        <v>90</v>
      </c>
      <c r="J167" t="s">
        <v>204</v>
      </c>
      <c r="K167" t="s">
        <v>168</v>
      </c>
      <c r="M167" s="50"/>
      <c r="N167" s="92" t="s">
        <v>688</v>
      </c>
      <c r="R167">
        <v>0</v>
      </c>
      <c r="S167">
        <v>0</v>
      </c>
      <c r="T167">
        <v>11</v>
      </c>
      <c r="U167">
        <v>11</v>
      </c>
      <c r="V167" s="13"/>
    </row>
    <row r="168" spans="2:22">
      <c r="B168" s="50"/>
      <c r="C168" s="50" t="s">
        <v>689</v>
      </c>
      <c r="D168" s="50" t="s">
        <v>690</v>
      </c>
      <c r="E168" s="50" t="s">
        <v>691</v>
      </c>
      <c r="F168" s="100" t="s">
        <v>87</v>
      </c>
      <c r="G168" t="s">
        <v>149</v>
      </c>
      <c r="H168" t="s">
        <v>89</v>
      </c>
      <c r="I168" t="s">
        <v>90</v>
      </c>
      <c r="J168" t="s">
        <v>204</v>
      </c>
      <c r="K168" t="s">
        <v>168</v>
      </c>
      <c r="M168" s="50"/>
      <c r="N168" s="92" t="s">
        <v>692</v>
      </c>
      <c r="R168">
        <v>0</v>
      </c>
      <c r="S168">
        <v>0</v>
      </c>
      <c r="T168">
        <v>11</v>
      </c>
      <c r="U168">
        <v>11</v>
      </c>
      <c r="V168" s="13"/>
    </row>
    <row r="169" spans="2:22">
      <c r="B169" s="50"/>
      <c r="C169" s="50" t="s">
        <v>693</v>
      </c>
      <c r="D169" s="50" t="s">
        <v>694</v>
      </c>
      <c r="E169" s="50" t="s">
        <v>695</v>
      </c>
      <c r="F169" s="100" t="s">
        <v>87</v>
      </c>
      <c r="G169" t="s">
        <v>97</v>
      </c>
      <c r="H169" t="s">
        <v>89</v>
      </c>
      <c r="I169" t="s">
        <v>90</v>
      </c>
      <c r="J169" t="s">
        <v>204</v>
      </c>
      <c r="K169" t="s">
        <v>168</v>
      </c>
      <c r="M169" s="50"/>
      <c r="N169" s="92" t="s">
        <v>696</v>
      </c>
      <c r="V169" s="13"/>
    </row>
    <row r="170" spans="2:22">
      <c r="B170" s="50"/>
      <c r="C170" s="50" t="s">
        <v>697</v>
      </c>
      <c r="D170" s="50" t="s">
        <v>698</v>
      </c>
      <c r="E170" s="50" t="s">
        <v>699</v>
      </c>
      <c r="F170" s="100" t="s">
        <v>87</v>
      </c>
      <c r="G170" t="s">
        <v>149</v>
      </c>
      <c r="H170" t="s">
        <v>89</v>
      </c>
      <c r="I170" t="s">
        <v>90</v>
      </c>
      <c r="J170" t="s">
        <v>204</v>
      </c>
      <c r="K170" t="s">
        <v>168</v>
      </c>
      <c r="M170" s="50"/>
      <c r="N170" s="92" t="s">
        <v>700</v>
      </c>
      <c r="R170">
        <v>0</v>
      </c>
      <c r="S170">
        <v>0</v>
      </c>
      <c r="T170">
        <v>11</v>
      </c>
      <c r="U170">
        <v>11</v>
      </c>
      <c r="V170" s="13"/>
    </row>
    <row r="171" spans="2:22">
      <c r="B171" s="50"/>
      <c r="C171" s="50" t="s">
        <v>701</v>
      </c>
      <c r="D171" s="50" t="s">
        <v>702</v>
      </c>
      <c r="E171" s="50" t="s">
        <v>703</v>
      </c>
      <c r="F171" s="100" t="s">
        <v>87</v>
      </c>
      <c r="G171" t="s">
        <v>149</v>
      </c>
      <c r="H171" t="s">
        <v>89</v>
      </c>
      <c r="I171" t="s">
        <v>90</v>
      </c>
      <c r="J171" t="s">
        <v>204</v>
      </c>
      <c r="K171" t="s">
        <v>168</v>
      </c>
      <c r="M171" s="50"/>
      <c r="N171" s="92" t="s">
        <v>704</v>
      </c>
      <c r="R171">
        <v>0</v>
      </c>
      <c r="S171">
        <v>0</v>
      </c>
      <c r="T171">
        <v>11</v>
      </c>
      <c r="U171">
        <v>11</v>
      </c>
      <c r="V171" s="13"/>
    </row>
    <row r="172" spans="2:22" ht="26.45" customHeight="1">
      <c r="B172" s="50"/>
      <c r="C172" s="50" t="s">
        <v>705</v>
      </c>
      <c r="D172" s="50" t="s">
        <v>706</v>
      </c>
      <c r="E172" s="50" t="s">
        <v>707</v>
      </c>
      <c r="F172" s="100" t="s">
        <v>87</v>
      </c>
      <c r="G172" t="s">
        <v>149</v>
      </c>
      <c r="H172" t="s">
        <v>89</v>
      </c>
      <c r="I172" t="s">
        <v>90</v>
      </c>
      <c r="J172" t="s">
        <v>204</v>
      </c>
      <c r="K172" t="s">
        <v>168</v>
      </c>
      <c r="M172" s="50"/>
      <c r="N172" s="92" t="s">
        <v>708</v>
      </c>
      <c r="R172">
        <v>0</v>
      </c>
      <c r="S172">
        <v>0</v>
      </c>
      <c r="T172">
        <v>11</v>
      </c>
      <c r="U172">
        <v>11</v>
      </c>
      <c r="V172" s="13"/>
    </row>
    <row r="173" spans="2:22">
      <c r="B173" s="50"/>
      <c r="C173" s="50" t="s">
        <v>709</v>
      </c>
      <c r="D173" s="50" t="s">
        <v>710</v>
      </c>
      <c r="E173" s="50" t="s">
        <v>711</v>
      </c>
      <c r="F173" s="100" t="s">
        <v>87</v>
      </c>
      <c r="G173" t="s">
        <v>149</v>
      </c>
      <c r="H173" t="s">
        <v>89</v>
      </c>
      <c r="I173" t="s">
        <v>90</v>
      </c>
      <c r="J173" t="s">
        <v>204</v>
      </c>
      <c r="K173" t="s">
        <v>168</v>
      </c>
      <c r="M173" s="50"/>
      <c r="N173" s="92" t="s">
        <v>712</v>
      </c>
      <c r="R173">
        <v>0</v>
      </c>
      <c r="S173">
        <v>0</v>
      </c>
      <c r="T173">
        <v>11</v>
      </c>
      <c r="U173">
        <v>11</v>
      </c>
      <c r="V173" s="13"/>
    </row>
    <row r="174" spans="2:22">
      <c r="B174" s="50"/>
      <c r="C174" s="50" t="s">
        <v>713</v>
      </c>
      <c r="D174" s="50" t="s">
        <v>714</v>
      </c>
      <c r="E174" s="50" t="s">
        <v>715</v>
      </c>
      <c r="F174" s="100" t="s">
        <v>87</v>
      </c>
      <c r="G174" t="s">
        <v>149</v>
      </c>
      <c r="H174" t="s">
        <v>89</v>
      </c>
      <c r="I174" t="s">
        <v>90</v>
      </c>
      <c r="J174" t="s">
        <v>204</v>
      </c>
      <c r="K174" t="s">
        <v>168</v>
      </c>
      <c r="M174" s="50"/>
      <c r="N174" s="92" t="s">
        <v>716</v>
      </c>
      <c r="R174">
        <v>0</v>
      </c>
      <c r="S174">
        <v>0</v>
      </c>
      <c r="T174">
        <v>11</v>
      </c>
      <c r="U174">
        <v>11</v>
      </c>
      <c r="V174" s="13"/>
    </row>
    <row r="175" spans="2:22">
      <c r="B175" s="50"/>
      <c r="C175" s="50" t="s">
        <v>717</v>
      </c>
      <c r="D175" s="50" t="s">
        <v>718</v>
      </c>
      <c r="E175" s="50" t="s">
        <v>719</v>
      </c>
      <c r="F175" s="100" t="s">
        <v>87</v>
      </c>
      <c r="G175" t="s">
        <v>149</v>
      </c>
      <c r="H175" t="s">
        <v>89</v>
      </c>
      <c r="I175" t="s">
        <v>90</v>
      </c>
      <c r="J175" t="s">
        <v>204</v>
      </c>
      <c r="K175" t="s">
        <v>168</v>
      </c>
      <c r="M175" s="50"/>
      <c r="N175" s="92" t="s">
        <v>720</v>
      </c>
      <c r="R175">
        <v>0</v>
      </c>
      <c r="S175">
        <v>0</v>
      </c>
      <c r="T175">
        <v>11</v>
      </c>
      <c r="U175">
        <v>11</v>
      </c>
      <c r="V175" s="13"/>
    </row>
    <row r="176" spans="2:22">
      <c r="B176" s="50"/>
      <c r="C176" s="50" t="s">
        <v>721</v>
      </c>
      <c r="D176" s="50" t="s">
        <v>722</v>
      </c>
      <c r="E176" s="50" t="s">
        <v>723</v>
      </c>
      <c r="F176" s="100" t="s">
        <v>87</v>
      </c>
      <c r="G176" t="s">
        <v>149</v>
      </c>
      <c r="H176" t="s">
        <v>89</v>
      </c>
      <c r="I176" t="s">
        <v>90</v>
      </c>
      <c r="J176" t="s">
        <v>204</v>
      </c>
      <c r="K176" t="s">
        <v>168</v>
      </c>
      <c r="M176" s="50"/>
      <c r="N176" s="92" t="s">
        <v>724</v>
      </c>
      <c r="R176">
        <v>0</v>
      </c>
      <c r="S176">
        <v>0</v>
      </c>
      <c r="T176">
        <v>11</v>
      </c>
      <c r="U176">
        <v>11</v>
      </c>
      <c r="V176" s="13"/>
    </row>
    <row r="177" spans="2:22">
      <c r="B177" s="50"/>
      <c r="C177" s="50" t="s">
        <v>725</v>
      </c>
      <c r="D177" s="50" t="s">
        <v>726</v>
      </c>
      <c r="E177" s="50" t="s">
        <v>727</v>
      </c>
      <c r="F177" s="100" t="s">
        <v>87</v>
      </c>
      <c r="G177" t="s">
        <v>149</v>
      </c>
      <c r="H177" t="s">
        <v>89</v>
      </c>
      <c r="I177" t="s">
        <v>90</v>
      </c>
      <c r="J177" t="s">
        <v>204</v>
      </c>
      <c r="K177" t="s">
        <v>168</v>
      </c>
      <c r="M177" s="50"/>
      <c r="N177" s="92" t="s">
        <v>728</v>
      </c>
      <c r="R177">
        <v>0</v>
      </c>
      <c r="S177">
        <v>0</v>
      </c>
      <c r="T177">
        <v>11</v>
      </c>
      <c r="U177">
        <v>11</v>
      </c>
      <c r="V177" s="13"/>
    </row>
    <row r="178" spans="2:22">
      <c r="B178" s="50"/>
      <c r="C178" s="50" t="s">
        <v>729</v>
      </c>
      <c r="D178" s="50" t="s">
        <v>730</v>
      </c>
      <c r="E178" s="50" t="s">
        <v>731</v>
      </c>
      <c r="F178" s="100" t="s">
        <v>87</v>
      </c>
      <c r="G178" t="s">
        <v>149</v>
      </c>
      <c r="H178" t="s">
        <v>89</v>
      </c>
      <c r="I178" t="s">
        <v>90</v>
      </c>
      <c r="J178" t="s">
        <v>204</v>
      </c>
      <c r="K178" t="s">
        <v>168</v>
      </c>
      <c r="M178" s="50"/>
      <c r="N178" s="92" t="s">
        <v>732</v>
      </c>
      <c r="R178">
        <v>0</v>
      </c>
      <c r="S178">
        <v>0</v>
      </c>
      <c r="T178">
        <v>11</v>
      </c>
      <c r="U178">
        <v>11</v>
      </c>
      <c r="V178" s="13"/>
    </row>
    <row r="179" spans="2:22">
      <c r="B179" s="50"/>
      <c r="C179" s="50" t="s">
        <v>733</v>
      </c>
      <c r="D179" s="50" t="s">
        <v>734</v>
      </c>
      <c r="E179" s="50" t="s">
        <v>735</v>
      </c>
      <c r="F179" s="100" t="s">
        <v>87</v>
      </c>
      <c r="G179" t="s">
        <v>149</v>
      </c>
      <c r="H179" t="s">
        <v>89</v>
      </c>
      <c r="I179" t="s">
        <v>90</v>
      </c>
      <c r="J179" t="s">
        <v>204</v>
      </c>
      <c r="K179" t="s">
        <v>168</v>
      </c>
      <c r="M179" s="50"/>
      <c r="N179" s="92" t="s">
        <v>736</v>
      </c>
      <c r="R179">
        <v>0</v>
      </c>
      <c r="S179">
        <v>0</v>
      </c>
      <c r="T179">
        <v>11</v>
      </c>
      <c r="U179">
        <v>11</v>
      </c>
      <c r="V179" s="13"/>
    </row>
    <row r="180" spans="2:22">
      <c r="B180" s="50"/>
      <c r="C180" s="50" t="s">
        <v>737</v>
      </c>
      <c r="D180" s="50" t="s">
        <v>738</v>
      </c>
      <c r="E180" s="50" t="s">
        <v>739</v>
      </c>
      <c r="F180" s="100" t="s">
        <v>87</v>
      </c>
      <c r="G180" t="s">
        <v>149</v>
      </c>
      <c r="H180" t="s">
        <v>89</v>
      </c>
      <c r="I180" t="s">
        <v>90</v>
      </c>
      <c r="J180" t="s">
        <v>204</v>
      </c>
      <c r="K180" t="s">
        <v>168</v>
      </c>
      <c r="M180" s="50"/>
      <c r="N180" s="92" t="s">
        <v>740</v>
      </c>
      <c r="R180">
        <v>0</v>
      </c>
      <c r="S180">
        <v>0</v>
      </c>
      <c r="T180">
        <v>11</v>
      </c>
      <c r="U180">
        <v>11</v>
      </c>
      <c r="V180" s="13"/>
    </row>
    <row r="181" spans="2:22" ht="32.450000000000003" customHeight="1">
      <c r="B181" s="50"/>
      <c r="C181" s="50" t="s">
        <v>741</v>
      </c>
      <c r="D181" s="50" t="s">
        <v>742</v>
      </c>
      <c r="E181" s="50" t="s">
        <v>743</v>
      </c>
      <c r="F181" s="100" t="s">
        <v>87</v>
      </c>
      <c r="G181" t="s">
        <v>149</v>
      </c>
      <c r="H181" t="s">
        <v>89</v>
      </c>
      <c r="I181" t="s">
        <v>90</v>
      </c>
      <c r="J181" t="s">
        <v>650</v>
      </c>
      <c r="K181" t="s">
        <v>744</v>
      </c>
      <c r="M181" s="50"/>
      <c r="N181" s="97" t="s">
        <v>745</v>
      </c>
      <c r="R181">
        <v>0</v>
      </c>
      <c r="S181">
        <v>0</v>
      </c>
      <c r="T181">
        <v>11</v>
      </c>
      <c r="U181">
        <v>11</v>
      </c>
      <c r="V181" s="13"/>
    </row>
    <row r="182" spans="2:22" ht="27.6" customHeight="1">
      <c r="B182" s="50"/>
      <c r="C182" s="50" t="s">
        <v>746</v>
      </c>
      <c r="D182" s="50" t="s">
        <v>747</v>
      </c>
      <c r="E182" s="50" t="s">
        <v>748</v>
      </c>
      <c r="F182" s="100" t="s">
        <v>87</v>
      </c>
      <c r="G182" t="s">
        <v>149</v>
      </c>
      <c r="H182" t="s">
        <v>89</v>
      </c>
      <c r="I182" t="s">
        <v>90</v>
      </c>
      <c r="J182" t="s">
        <v>650</v>
      </c>
      <c r="K182" t="s">
        <v>744</v>
      </c>
      <c r="M182" s="50"/>
      <c r="N182" s="92" t="s">
        <v>749</v>
      </c>
      <c r="R182">
        <v>0</v>
      </c>
      <c r="S182">
        <v>0</v>
      </c>
      <c r="T182">
        <v>11</v>
      </c>
      <c r="U182">
        <v>11</v>
      </c>
      <c r="V182" s="13"/>
    </row>
    <row r="183" spans="2:22" ht="34.5" customHeight="1">
      <c r="B183" s="50"/>
      <c r="C183" s="50" t="s">
        <v>750</v>
      </c>
      <c r="D183" s="50" t="s">
        <v>751</v>
      </c>
      <c r="E183" s="50" t="s">
        <v>752</v>
      </c>
      <c r="F183" s="100" t="s">
        <v>87</v>
      </c>
      <c r="G183" t="s">
        <v>149</v>
      </c>
      <c r="H183" t="s">
        <v>89</v>
      </c>
      <c r="I183" t="s">
        <v>90</v>
      </c>
      <c r="J183" t="s">
        <v>650</v>
      </c>
      <c r="K183" t="s">
        <v>744</v>
      </c>
      <c r="M183" s="50"/>
      <c r="N183" s="92" t="s">
        <v>753</v>
      </c>
      <c r="R183">
        <v>0</v>
      </c>
      <c r="S183">
        <v>0</v>
      </c>
      <c r="T183">
        <v>11</v>
      </c>
      <c r="U183">
        <v>11</v>
      </c>
      <c r="V183" s="13"/>
    </row>
    <row r="184" spans="2:22" ht="24.95" customHeight="1">
      <c r="B184" s="50"/>
      <c r="C184" s="50" t="s">
        <v>754</v>
      </c>
      <c r="D184" s="50" t="s">
        <v>755</v>
      </c>
      <c r="E184" s="50" t="s">
        <v>756</v>
      </c>
      <c r="F184" s="100" t="s">
        <v>87</v>
      </c>
      <c r="G184" t="s">
        <v>149</v>
      </c>
      <c r="H184" t="s">
        <v>89</v>
      </c>
      <c r="I184" t="s">
        <v>90</v>
      </c>
      <c r="J184" t="s">
        <v>650</v>
      </c>
      <c r="K184" t="s">
        <v>744</v>
      </c>
      <c r="M184" s="50"/>
      <c r="N184" s="92" t="s">
        <v>757</v>
      </c>
      <c r="R184">
        <v>0</v>
      </c>
      <c r="S184">
        <v>0</v>
      </c>
      <c r="T184">
        <v>11</v>
      </c>
      <c r="U184">
        <v>11</v>
      </c>
      <c r="V184" s="13"/>
    </row>
    <row r="185" spans="2:22">
      <c r="B185" s="50"/>
      <c r="C185" s="50" t="s">
        <v>758</v>
      </c>
      <c r="D185" s="50" t="s">
        <v>759</v>
      </c>
      <c r="E185" s="50" t="s">
        <v>760</v>
      </c>
      <c r="F185" s="100" t="s">
        <v>87</v>
      </c>
      <c r="G185" t="s">
        <v>149</v>
      </c>
      <c r="H185" t="s">
        <v>89</v>
      </c>
      <c r="I185" t="s">
        <v>90</v>
      </c>
      <c r="J185" t="s">
        <v>650</v>
      </c>
      <c r="K185" t="s">
        <v>744</v>
      </c>
      <c r="M185" s="50"/>
      <c r="N185" s="92" t="s">
        <v>761</v>
      </c>
      <c r="R185">
        <v>0</v>
      </c>
      <c r="S185">
        <v>0</v>
      </c>
      <c r="T185">
        <v>11</v>
      </c>
      <c r="U185">
        <v>11</v>
      </c>
      <c r="V185" s="13"/>
    </row>
    <row r="186" spans="2:22">
      <c r="B186" s="50"/>
      <c r="C186" s="50" t="s">
        <v>762</v>
      </c>
      <c r="D186" s="50" t="s">
        <v>763</v>
      </c>
      <c r="E186" s="50" t="s">
        <v>764</v>
      </c>
      <c r="F186" s="100" t="s">
        <v>87</v>
      </c>
      <c r="G186" t="s">
        <v>149</v>
      </c>
      <c r="H186" t="s">
        <v>89</v>
      </c>
      <c r="I186" t="s">
        <v>90</v>
      </c>
      <c r="J186" t="s">
        <v>650</v>
      </c>
      <c r="K186" t="s">
        <v>744</v>
      </c>
      <c r="M186" s="50"/>
      <c r="N186" s="92" t="s">
        <v>765</v>
      </c>
      <c r="R186">
        <v>0</v>
      </c>
      <c r="S186">
        <v>0</v>
      </c>
      <c r="T186">
        <v>11</v>
      </c>
      <c r="U186">
        <v>11</v>
      </c>
      <c r="V186" s="13"/>
    </row>
    <row r="187" spans="2:22" ht="23.45" customHeight="1">
      <c r="B187" s="50"/>
      <c r="C187" s="50" t="s">
        <v>766</v>
      </c>
      <c r="D187" s="50" t="s">
        <v>767</v>
      </c>
      <c r="E187" s="50" t="s">
        <v>768</v>
      </c>
      <c r="F187" s="100" t="s">
        <v>87</v>
      </c>
      <c r="G187" t="s">
        <v>149</v>
      </c>
      <c r="H187" t="s">
        <v>89</v>
      </c>
      <c r="I187" t="s">
        <v>90</v>
      </c>
      <c r="J187" t="s">
        <v>650</v>
      </c>
      <c r="K187" t="s">
        <v>744</v>
      </c>
      <c r="M187" s="50"/>
      <c r="N187" s="92" t="s">
        <v>769</v>
      </c>
      <c r="R187">
        <v>0</v>
      </c>
      <c r="S187">
        <v>0</v>
      </c>
      <c r="T187">
        <v>11</v>
      </c>
      <c r="U187">
        <v>11</v>
      </c>
      <c r="V187" s="13"/>
    </row>
    <row r="188" spans="2:22">
      <c r="B188" s="50"/>
      <c r="C188" s="50" t="s">
        <v>770</v>
      </c>
      <c r="D188" s="50" t="s">
        <v>771</v>
      </c>
      <c r="E188" s="50" t="s">
        <v>772</v>
      </c>
      <c r="F188" s="100" t="s">
        <v>87</v>
      </c>
      <c r="G188" t="s">
        <v>149</v>
      </c>
      <c r="H188" t="s">
        <v>89</v>
      </c>
      <c r="I188" t="s">
        <v>90</v>
      </c>
      <c r="J188" t="s">
        <v>650</v>
      </c>
      <c r="K188" t="s">
        <v>744</v>
      </c>
      <c r="M188" s="50"/>
      <c r="N188" s="92" t="s">
        <v>773</v>
      </c>
      <c r="R188">
        <v>0</v>
      </c>
      <c r="S188">
        <v>0</v>
      </c>
      <c r="T188">
        <v>11</v>
      </c>
      <c r="U188">
        <v>11</v>
      </c>
      <c r="V188" s="13"/>
    </row>
    <row r="189" spans="2:22">
      <c r="B189" s="50"/>
      <c r="C189" s="50" t="s">
        <v>774</v>
      </c>
      <c r="D189" s="50" t="s">
        <v>775</v>
      </c>
      <c r="E189" s="50" t="s">
        <v>776</v>
      </c>
      <c r="F189" s="100" t="s">
        <v>87</v>
      </c>
      <c r="G189" t="s">
        <v>149</v>
      </c>
      <c r="H189" t="s">
        <v>89</v>
      </c>
      <c r="I189" t="s">
        <v>90</v>
      </c>
      <c r="J189" t="s">
        <v>650</v>
      </c>
      <c r="K189" t="s">
        <v>744</v>
      </c>
      <c r="M189" s="50"/>
      <c r="N189" s="92" t="s">
        <v>777</v>
      </c>
      <c r="R189">
        <v>0</v>
      </c>
      <c r="S189">
        <v>0</v>
      </c>
      <c r="T189">
        <v>11</v>
      </c>
      <c r="U189">
        <v>11</v>
      </c>
      <c r="V189" s="13"/>
    </row>
    <row r="190" spans="2:22" ht="24" customHeight="1">
      <c r="B190" s="50"/>
      <c r="C190" s="50" t="s">
        <v>778</v>
      </c>
      <c r="D190" s="73" t="s">
        <v>779</v>
      </c>
      <c r="E190" s="50" t="s">
        <v>780</v>
      </c>
      <c r="F190" s="100" t="s">
        <v>87</v>
      </c>
      <c r="G190" t="s">
        <v>102</v>
      </c>
      <c r="H190" t="s">
        <v>89</v>
      </c>
      <c r="I190" t="s">
        <v>90</v>
      </c>
      <c r="J190" t="s">
        <v>91</v>
      </c>
      <c r="K190" t="s">
        <v>132</v>
      </c>
      <c r="M190" s="50"/>
      <c r="N190" s="92" t="s">
        <v>781</v>
      </c>
      <c r="S190">
        <v>0</v>
      </c>
      <c r="T190">
        <v>2</v>
      </c>
      <c r="U190">
        <v>2</v>
      </c>
      <c r="V190" s="13"/>
    </row>
    <row r="191" spans="2:22">
      <c r="B191" s="50"/>
      <c r="C191" s="64" t="s">
        <v>782</v>
      </c>
      <c r="D191" s="73" t="s">
        <v>783</v>
      </c>
      <c r="E191" s="50" t="s">
        <v>784</v>
      </c>
      <c r="F191" s="100" t="s">
        <v>87</v>
      </c>
      <c r="G191" t="s">
        <v>102</v>
      </c>
      <c r="H191" t="s">
        <v>89</v>
      </c>
      <c r="I191" t="s">
        <v>90</v>
      </c>
      <c r="J191" t="s">
        <v>91</v>
      </c>
      <c r="K191" t="s">
        <v>132</v>
      </c>
      <c r="M191" s="64"/>
      <c r="N191" s="92" t="s">
        <v>785</v>
      </c>
      <c r="S191">
        <v>0</v>
      </c>
      <c r="T191">
        <v>2</v>
      </c>
      <c r="U191">
        <v>2</v>
      </c>
      <c r="V191" s="13"/>
    </row>
    <row r="192" spans="2:22">
      <c r="B192" s="50"/>
      <c r="C192" s="64" t="s">
        <v>786</v>
      </c>
      <c r="D192" s="73" t="s">
        <v>787</v>
      </c>
      <c r="E192" s="50" t="s">
        <v>788</v>
      </c>
      <c r="F192" s="100" t="s">
        <v>87</v>
      </c>
      <c r="G192" t="s">
        <v>102</v>
      </c>
      <c r="H192" t="s">
        <v>89</v>
      </c>
      <c r="I192" t="s">
        <v>90</v>
      </c>
      <c r="J192" t="s">
        <v>91</v>
      </c>
      <c r="K192" t="s">
        <v>132</v>
      </c>
      <c r="M192" s="64"/>
      <c r="N192" s="92" t="s">
        <v>789</v>
      </c>
      <c r="S192">
        <v>0</v>
      </c>
      <c r="T192">
        <v>2</v>
      </c>
      <c r="U192">
        <v>2</v>
      </c>
      <c r="V192" s="13"/>
    </row>
    <row r="193" spans="2:22">
      <c r="B193" s="50"/>
      <c r="C193" s="64" t="s">
        <v>790</v>
      </c>
      <c r="D193" s="73" t="s">
        <v>791</v>
      </c>
      <c r="E193" s="50" t="s">
        <v>792</v>
      </c>
      <c r="F193" s="100" t="s">
        <v>87</v>
      </c>
      <c r="G193" t="s">
        <v>102</v>
      </c>
      <c r="H193" t="s">
        <v>89</v>
      </c>
      <c r="I193" t="s">
        <v>90</v>
      </c>
      <c r="J193" t="s">
        <v>91</v>
      </c>
      <c r="K193" t="s">
        <v>132</v>
      </c>
      <c r="M193" s="64"/>
      <c r="N193" s="92" t="s">
        <v>793</v>
      </c>
      <c r="S193">
        <v>0</v>
      </c>
      <c r="T193">
        <v>11</v>
      </c>
      <c r="U193">
        <v>11</v>
      </c>
      <c r="V193" s="13"/>
    </row>
    <row r="194" spans="2:22">
      <c r="B194" s="50"/>
      <c r="C194" s="50" t="s">
        <v>794</v>
      </c>
      <c r="D194" s="73" t="s">
        <v>795</v>
      </c>
      <c r="E194" s="50" t="s">
        <v>796</v>
      </c>
      <c r="F194" s="100" t="s">
        <v>87</v>
      </c>
      <c r="G194" t="s">
        <v>102</v>
      </c>
      <c r="H194" t="s">
        <v>89</v>
      </c>
      <c r="I194" t="s">
        <v>90</v>
      </c>
      <c r="J194" t="s">
        <v>91</v>
      </c>
      <c r="K194" t="s">
        <v>132</v>
      </c>
      <c r="M194" s="50"/>
      <c r="N194" s="92" t="s">
        <v>797</v>
      </c>
      <c r="S194">
        <v>0</v>
      </c>
      <c r="T194">
        <v>11</v>
      </c>
      <c r="U194">
        <v>11</v>
      </c>
      <c r="V194" s="13"/>
    </row>
    <row r="195" spans="2:22">
      <c r="B195" s="50"/>
      <c r="C195" s="64" t="s">
        <v>798</v>
      </c>
      <c r="D195" s="73" t="s">
        <v>799</v>
      </c>
      <c r="E195" s="50" t="s">
        <v>800</v>
      </c>
      <c r="F195" s="100" t="s">
        <v>87</v>
      </c>
      <c r="G195" t="s">
        <v>102</v>
      </c>
      <c r="H195" t="s">
        <v>89</v>
      </c>
      <c r="I195" t="s">
        <v>90</v>
      </c>
      <c r="J195" t="s">
        <v>91</v>
      </c>
      <c r="K195" t="s">
        <v>132</v>
      </c>
      <c r="M195" s="64"/>
      <c r="N195" s="92" t="s">
        <v>801</v>
      </c>
      <c r="S195">
        <v>0</v>
      </c>
      <c r="T195">
        <v>11</v>
      </c>
      <c r="U195">
        <v>11</v>
      </c>
      <c r="V195" s="13"/>
    </row>
    <row r="196" spans="2:22">
      <c r="B196" s="50"/>
      <c r="C196" s="64" t="s">
        <v>802</v>
      </c>
      <c r="D196" s="73" t="s">
        <v>803</v>
      </c>
      <c r="E196" s="50" t="s">
        <v>804</v>
      </c>
      <c r="F196" s="100" t="s">
        <v>87</v>
      </c>
      <c r="G196" t="s">
        <v>102</v>
      </c>
      <c r="H196" t="s">
        <v>89</v>
      </c>
      <c r="I196" t="s">
        <v>90</v>
      </c>
      <c r="J196" t="s">
        <v>91</v>
      </c>
      <c r="K196" t="s">
        <v>132</v>
      </c>
      <c r="M196" s="64"/>
      <c r="N196" s="92" t="s">
        <v>805</v>
      </c>
      <c r="S196">
        <v>0</v>
      </c>
      <c r="T196">
        <v>11</v>
      </c>
      <c r="U196">
        <v>11</v>
      </c>
      <c r="V196" s="13"/>
    </row>
    <row r="197" spans="2:22">
      <c r="B197" s="50"/>
      <c r="C197" s="64" t="s">
        <v>806</v>
      </c>
      <c r="D197" s="50" t="s">
        <v>807</v>
      </c>
      <c r="E197" s="50" t="s">
        <v>808</v>
      </c>
      <c r="F197" s="100" t="s">
        <v>87</v>
      </c>
      <c r="G197" t="s">
        <v>102</v>
      </c>
      <c r="H197" t="s">
        <v>89</v>
      </c>
      <c r="I197" t="s">
        <v>90</v>
      </c>
      <c r="J197" t="s">
        <v>91</v>
      </c>
      <c r="K197" t="s">
        <v>132</v>
      </c>
      <c r="M197" s="64"/>
      <c r="N197" s="92" t="s">
        <v>809</v>
      </c>
      <c r="S197">
        <v>0</v>
      </c>
      <c r="T197">
        <v>11</v>
      </c>
      <c r="U197">
        <v>11</v>
      </c>
      <c r="V197" s="13"/>
    </row>
    <row r="198" spans="2:22">
      <c r="B198" s="50"/>
      <c r="C198" s="64" t="s">
        <v>810</v>
      </c>
      <c r="D198" s="73" t="s">
        <v>811</v>
      </c>
      <c r="E198" s="50" t="s">
        <v>812</v>
      </c>
      <c r="F198" s="100" t="s">
        <v>87</v>
      </c>
      <c r="G198" t="s">
        <v>102</v>
      </c>
      <c r="H198" t="s">
        <v>89</v>
      </c>
      <c r="I198" t="s">
        <v>90</v>
      </c>
      <c r="J198" t="s">
        <v>91</v>
      </c>
      <c r="K198" t="s">
        <v>132</v>
      </c>
      <c r="M198" s="64"/>
      <c r="N198" s="92" t="s">
        <v>813</v>
      </c>
      <c r="S198">
        <v>0</v>
      </c>
      <c r="T198">
        <v>15</v>
      </c>
      <c r="U198">
        <v>15</v>
      </c>
      <c r="V198" s="13"/>
    </row>
    <row r="199" spans="2:22">
      <c r="B199" s="50"/>
      <c r="C199" s="64" t="s">
        <v>814</v>
      </c>
      <c r="D199" s="73" t="s">
        <v>815</v>
      </c>
      <c r="E199" s="50" t="s">
        <v>816</v>
      </c>
      <c r="F199" s="100" t="s">
        <v>87</v>
      </c>
      <c r="G199" t="s">
        <v>102</v>
      </c>
      <c r="H199" t="s">
        <v>89</v>
      </c>
      <c r="I199" t="s">
        <v>90</v>
      </c>
      <c r="J199" t="s">
        <v>91</v>
      </c>
      <c r="K199" t="s">
        <v>132</v>
      </c>
      <c r="M199" s="64"/>
      <c r="N199" s="92" t="s">
        <v>817</v>
      </c>
      <c r="S199">
        <v>0</v>
      </c>
      <c r="T199">
        <v>14</v>
      </c>
      <c r="U199">
        <v>14</v>
      </c>
      <c r="V199" s="13"/>
    </row>
    <row r="200" spans="2:22" ht="23.1" customHeight="1">
      <c r="B200" s="50"/>
      <c r="C200" s="64" t="s">
        <v>818</v>
      </c>
      <c r="D200" s="73" t="s">
        <v>819</v>
      </c>
      <c r="E200" s="50" t="s">
        <v>820</v>
      </c>
      <c r="F200" s="100" t="s">
        <v>87</v>
      </c>
      <c r="G200" t="s">
        <v>88</v>
      </c>
      <c r="H200" t="s">
        <v>89</v>
      </c>
      <c r="I200" t="s">
        <v>90</v>
      </c>
      <c r="J200" t="s">
        <v>91</v>
      </c>
      <c r="K200" t="s">
        <v>821</v>
      </c>
      <c r="M200" s="64"/>
      <c r="N200" s="97" t="s">
        <v>822</v>
      </c>
      <c r="V200" s="13"/>
    </row>
    <row r="201" spans="2:22" ht="25.5" customHeight="1">
      <c r="B201" s="50"/>
      <c r="C201" s="64" t="s">
        <v>823</v>
      </c>
      <c r="D201" s="73" t="s">
        <v>824</v>
      </c>
      <c r="E201" s="50" t="s">
        <v>825</v>
      </c>
      <c r="F201" s="100" t="s">
        <v>87</v>
      </c>
      <c r="G201" t="s">
        <v>88</v>
      </c>
      <c r="H201" t="s">
        <v>89</v>
      </c>
      <c r="I201" t="s">
        <v>90</v>
      </c>
      <c r="J201" t="s">
        <v>91</v>
      </c>
      <c r="K201" t="s">
        <v>821</v>
      </c>
      <c r="M201" s="64"/>
      <c r="N201" s="92" t="s">
        <v>826</v>
      </c>
      <c r="V201" s="13"/>
    </row>
    <row r="202" spans="2:22" ht="30">
      <c r="B202" s="50"/>
      <c r="C202" s="50" t="s">
        <v>827</v>
      </c>
      <c r="D202" s="73" t="s">
        <v>828</v>
      </c>
      <c r="E202" s="50" t="s">
        <v>829</v>
      </c>
      <c r="F202" s="100" t="s">
        <v>87</v>
      </c>
      <c r="G202" t="s">
        <v>187</v>
      </c>
      <c r="H202" t="s">
        <v>89</v>
      </c>
      <c r="I202" t="s">
        <v>90</v>
      </c>
      <c r="J202" t="s">
        <v>91</v>
      </c>
      <c r="K202" t="s">
        <v>821</v>
      </c>
      <c r="M202" s="50"/>
      <c r="N202" s="92" t="s">
        <v>830</v>
      </c>
      <c r="V202" s="13"/>
    </row>
    <row r="203" spans="2:22" ht="27.6" customHeight="1">
      <c r="B203" s="50"/>
      <c r="C203" s="64" t="s">
        <v>831</v>
      </c>
      <c r="D203" s="64" t="s">
        <v>832</v>
      </c>
      <c r="E203" s="74" t="s">
        <v>833</v>
      </c>
      <c r="F203" s="100" t="s">
        <v>87</v>
      </c>
      <c r="G203" t="s">
        <v>88</v>
      </c>
      <c r="H203" t="s">
        <v>89</v>
      </c>
      <c r="I203" t="s">
        <v>90</v>
      </c>
      <c r="J203" t="s">
        <v>91</v>
      </c>
      <c r="K203" t="s">
        <v>107</v>
      </c>
      <c r="M203" s="64"/>
      <c r="N203" s="96" t="s">
        <v>834</v>
      </c>
      <c r="V203" s="13"/>
    </row>
    <row r="204" spans="2:22" ht="90">
      <c r="B204" s="50"/>
      <c r="C204" s="64" t="s">
        <v>835</v>
      </c>
      <c r="D204" s="64" t="s">
        <v>836</v>
      </c>
      <c r="E204" s="75" t="s">
        <v>837</v>
      </c>
      <c r="F204" s="100" t="s">
        <v>87</v>
      </c>
      <c r="G204" t="s">
        <v>213</v>
      </c>
      <c r="H204" t="s">
        <v>89</v>
      </c>
      <c r="I204" t="s">
        <v>90</v>
      </c>
      <c r="J204" t="s">
        <v>91</v>
      </c>
      <c r="K204" t="s">
        <v>107</v>
      </c>
      <c r="M204" s="64"/>
      <c r="N204" s="92" t="s">
        <v>838</v>
      </c>
      <c r="U204">
        <v>150</v>
      </c>
      <c r="V204" s="13" t="s">
        <v>215</v>
      </c>
    </row>
    <row r="205" spans="2:22">
      <c r="B205" s="50"/>
      <c r="C205" s="64" t="s">
        <v>839</v>
      </c>
      <c r="D205" s="64" t="s">
        <v>840</v>
      </c>
      <c r="E205" s="75" t="s">
        <v>841</v>
      </c>
      <c r="F205" s="100" t="s">
        <v>87</v>
      </c>
      <c r="G205" t="s">
        <v>149</v>
      </c>
      <c r="H205" t="s">
        <v>89</v>
      </c>
      <c r="I205" t="s">
        <v>90</v>
      </c>
      <c r="J205" t="s">
        <v>204</v>
      </c>
      <c r="K205" t="s">
        <v>168</v>
      </c>
      <c r="M205" s="64"/>
      <c r="N205" s="92" t="s">
        <v>842</v>
      </c>
      <c r="R205">
        <v>0</v>
      </c>
      <c r="S205">
        <v>0</v>
      </c>
      <c r="T205">
        <v>11</v>
      </c>
      <c r="U205">
        <v>11</v>
      </c>
      <c r="V205" s="13"/>
    </row>
    <row r="206" spans="2:22">
      <c r="B206" s="50"/>
      <c r="C206" s="64" t="s">
        <v>843</v>
      </c>
      <c r="D206" s="76" t="s">
        <v>844</v>
      </c>
      <c r="E206" s="75" t="s">
        <v>845</v>
      </c>
      <c r="F206" s="100" t="s">
        <v>87</v>
      </c>
      <c r="G206" t="s">
        <v>102</v>
      </c>
      <c r="H206" t="s">
        <v>89</v>
      </c>
      <c r="I206" t="s">
        <v>90</v>
      </c>
      <c r="J206" t="s">
        <v>91</v>
      </c>
      <c r="K206" t="s">
        <v>132</v>
      </c>
      <c r="M206" s="64"/>
      <c r="N206" s="92" t="s">
        <v>846</v>
      </c>
      <c r="S206">
        <v>0</v>
      </c>
      <c r="T206">
        <v>11</v>
      </c>
      <c r="U206">
        <v>11</v>
      </c>
      <c r="V206" s="13"/>
    </row>
    <row r="207" spans="2:22">
      <c r="B207" s="50"/>
      <c r="C207" s="64" t="s">
        <v>847</v>
      </c>
      <c r="D207" s="64" t="s">
        <v>848</v>
      </c>
      <c r="E207" s="75" t="s">
        <v>849</v>
      </c>
      <c r="F207" s="100" t="s">
        <v>87</v>
      </c>
      <c r="G207" t="s">
        <v>97</v>
      </c>
      <c r="H207" t="s">
        <v>89</v>
      </c>
      <c r="I207" t="s">
        <v>90</v>
      </c>
      <c r="J207" t="s">
        <v>91</v>
      </c>
      <c r="K207" t="s">
        <v>850</v>
      </c>
      <c r="M207" s="64"/>
      <c r="N207" s="92" t="s">
        <v>851</v>
      </c>
      <c r="V207" s="13"/>
    </row>
    <row r="208" spans="2:22">
      <c r="B208" s="50"/>
      <c r="C208" s="64" t="s">
        <v>852</v>
      </c>
      <c r="D208" s="71" t="s">
        <v>853</v>
      </c>
      <c r="E208" s="75" t="s">
        <v>854</v>
      </c>
      <c r="F208" s="100" t="s">
        <v>87</v>
      </c>
      <c r="G208" t="s">
        <v>88</v>
      </c>
      <c r="H208" t="s">
        <v>89</v>
      </c>
      <c r="I208" t="s">
        <v>90</v>
      </c>
      <c r="J208" t="s">
        <v>204</v>
      </c>
      <c r="K208" t="s">
        <v>168</v>
      </c>
      <c r="M208" s="64"/>
      <c r="N208" s="97" t="s">
        <v>855</v>
      </c>
      <c r="V208" s="13"/>
    </row>
    <row r="209" spans="2:22" ht="30" customHeight="1">
      <c r="B209" s="50"/>
      <c r="C209" s="64" t="s">
        <v>856</v>
      </c>
      <c r="D209" s="50" t="s">
        <v>857</v>
      </c>
      <c r="E209" s="75" t="s">
        <v>858</v>
      </c>
      <c r="F209" s="100" t="s">
        <v>87</v>
      </c>
      <c r="G209" t="s">
        <v>259</v>
      </c>
      <c r="H209" t="s">
        <v>89</v>
      </c>
      <c r="I209" t="s">
        <v>90</v>
      </c>
      <c r="J209" t="s">
        <v>204</v>
      </c>
      <c r="K209" t="s">
        <v>168</v>
      </c>
      <c r="M209" s="64"/>
      <c r="N209" s="92" t="s">
        <v>859</v>
      </c>
      <c r="U209">
        <v>250</v>
      </c>
      <c r="V209" s="13" t="s">
        <v>215</v>
      </c>
    </row>
    <row r="210" spans="2:22">
      <c r="B210" s="50"/>
      <c r="C210" s="64" t="s">
        <v>860</v>
      </c>
      <c r="D210" s="71" t="s">
        <v>861</v>
      </c>
      <c r="E210" s="75" t="s">
        <v>862</v>
      </c>
      <c r="F210" s="100" t="s">
        <v>87</v>
      </c>
      <c r="G210" t="s">
        <v>88</v>
      </c>
      <c r="H210" t="s">
        <v>89</v>
      </c>
      <c r="I210" t="s">
        <v>90</v>
      </c>
      <c r="J210" t="s">
        <v>204</v>
      </c>
      <c r="K210" t="s">
        <v>168</v>
      </c>
      <c r="M210" s="64"/>
      <c r="N210" s="92" t="s">
        <v>863</v>
      </c>
      <c r="V210" s="13"/>
    </row>
    <row r="211" spans="2:22" ht="90">
      <c r="B211" s="50"/>
      <c r="C211" s="64" t="s">
        <v>864</v>
      </c>
      <c r="D211" s="50" t="s">
        <v>865</v>
      </c>
      <c r="E211" s="77" t="s">
        <v>866</v>
      </c>
      <c r="F211" s="100" t="s">
        <v>87</v>
      </c>
      <c r="G211" t="s">
        <v>259</v>
      </c>
      <c r="H211" t="s">
        <v>89</v>
      </c>
      <c r="I211" t="s">
        <v>90</v>
      </c>
      <c r="J211" t="s">
        <v>204</v>
      </c>
      <c r="K211" t="s">
        <v>168</v>
      </c>
      <c r="M211" s="64"/>
      <c r="N211" s="92" t="s">
        <v>867</v>
      </c>
      <c r="U211">
        <v>250</v>
      </c>
      <c r="V211" s="13" t="s">
        <v>215</v>
      </c>
    </row>
    <row r="212" spans="2:22">
      <c r="B212" s="50"/>
      <c r="C212" s="64" t="s">
        <v>868</v>
      </c>
      <c r="D212" s="71" t="s">
        <v>869</v>
      </c>
      <c r="E212" s="75" t="s">
        <v>870</v>
      </c>
      <c r="F212" s="100" t="s">
        <v>87</v>
      </c>
      <c r="G212" t="s">
        <v>149</v>
      </c>
      <c r="H212" t="s">
        <v>89</v>
      </c>
      <c r="I212" t="s">
        <v>90</v>
      </c>
      <c r="J212" t="s">
        <v>204</v>
      </c>
      <c r="K212" t="s">
        <v>168</v>
      </c>
      <c r="M212" s="64"/>
      <c r="N212" s="97" t="s">
        <v>871</v>
      </c>
      <c r="R212">
        <v>0</v>
      </c>
      <c r="S212">
        <v>0</v>
      </c>
      <c r="T212">
        <v>11</v>
      </c>
      <c r="U212">
        <v>11</v>
      </c>
      <c r="V212" s="13"/>
    </row>
    <row r="213" spans="2:22" ht="90">
      <c r="B213" s="50"/>
      <c r="C213" s="64" t="s">
        <v>872</v>
      </c>
      <c r="D213" s="71" t="s">
        <v>873</v>
      </c>
      <c r="E213" s="75" t="s">
        <v>874</v>
      </c>
      <c r="F213" s="100" t="s">
        <v>87</v>
      </c>
      <c r="G213" t="s">
        <v>259</v>
      </c>
      <c r="H213" t="s">
        <v>89</v>
      </c>
      <c r="I213" t="s">
        <v>90</v>
      </c>
      <c r="J213" t="s">
        <v>204</v>
      </c>
      <c r="K213" t="s">
        <v>168</v>
      </c>
      <c r="M213" s="64"/>
      <c r="N213" s="92" t="s">
        <v>875</v>
      </c>
      <c r="U213">
        <v>250</v>
      </c>
      <c r="V213" s="13" t="s">
        <v>215</v>
      </c>
    </row>
    <row r="214" spans="2:22" ht="39" customHeight="1">
      <c r="B214" s="50"/>
      <c r="C214" s="64" t="s">
        <v>876</v>
      </c>
      <c r="D214" s="64" t="s">
        <v>877</v>
      </c>
      <c r="E214" s="78" t="s">
        <v>878</v>
      </c>
      <c r="F214" s="100" t="s">
        <v>87</v>
      </c>
      <c r="G214" t="s">
        <v>149</v>
      </c>
      <c r="H214" t="s">
        <v>89</v>
      </c>
      <c r="I214" t="s">
        <v>90</v>
      </c>
      <c r="J214" t="s">
        <v>204</v>
      </c>
      <c r="K214" t="s">
        <v>168</v>
      </c>
      <c r="M214" s="64"/>
      <c r="N214" s="92" t="s">
        <v>879</v>
      </c>
      <c r="R214">
        <v>0</v>
      </c>
      <c r="S214">
        <v>0</v>
      </c>
      <c r="T214">
        <v>11</v>
      </c>
      <c r="U214">
        <v>11</v>
      </c>
      <c r="V214" s="13"/>
    </row>
    <row r="215" spans="2:22" ht="39" customHeight="1">
      <c r="B215" s="50"/>
      <c r="C215" s="64" t="s">
        <v>876</v>
      </c>
      <c r="D215" s="64" t="s">
        <v>880</v>
      </c>
      <c r="E215" s="78" t="s">
        <v>881</v>
      </c>
      <c r="F215" s="100" t="s">
        <v>87</v>
      </c>
      <c r="G215" t="s">
        <v>149</v>
      </c>
      <c r="H215" t="s">
        <v>89</v>
      </c>
      <c r="I215" t="s">
        <v>90</v>
      </c>
      <c r="J215" t="s">
        <v>204</v>
      </c>
      <c r="K215" t="s">
        <v>168</v>
      </c>
      <c r="M215" s="64"/>
      <c r="N215" s="92" t="s">
        <v>882</v>
      </c>
      <c r="R215">
        <v>0</v>
      </c>
      <c r="S215">
        <v>0</v>
      </c>
      <c r="T215">
        <v>11</v>
      </c>
      <c r="U215">
        <v>11</v>
      </c>
      <c r="V215" s="13"/>
    </row>
    <row r="216" spans="2:22">
      <c r="B216" s="50"/>
      <c r="C216" s="64" t="s">
        <v>883</v>
      </c>
      <c r="D216" s="64" t="s">
        <v>884</v>
      </c>
      <c r="E216" s="75" t="s">
        <v>885</v>
      </c>
      <c r="F216" s="100" t="s">
        <v>87</v>
      </c>
      <c r="G216" t="s">
        <v>149</v>
      </c>
      <c r="H216" t="s">
        <v>89</v>
      </c>
      <c r="I216" t="s">
        <v>90</v>
      </c>
      <c r="J216" t="s">
        <v>204</v>
      </c>
      <c r="K216" t="s">
        <v>168</v>
      </c>
      <c r="M216" s="64"/>
      <c r="N216" s="92" t="s">
        <v>886</v>
      </c>
      <c r="R216">
        <v>0</v>
      </c>
      <c r="S216">
        <v>0</v>
      </c>
      <c r="T216">
        <v>11</v>
      </c>
      <c r="U216">
        <v>11</v>
      </c>
      <c r="V216" s="13"/>
    </row>
    <row r="217" spans="2:22">
      <c r="B217" s="50"/>
      <c r="C217" s="64" t="s">
        <v>883</v>
      </c>
      <c r="D217" s="64" t="s">
        <v>887</v>
      </c>
      <c r="E217" s="66" t="s">
        <v>888</v>
      </c>
      <c r="F217" s="100" t="s">
        <v>87</v>
      </c>
      <c r="G217" t="s">
        <v>149</v>
      </c>
      <c r="H217" t="s">
        <v>89</v>
      </c>
      <c r="I217" t="s">
        <v>90</v>
      </c>
      <c r="J217" t="s">
        <v>204</v>
      </c>
      <c r="K217" t="s">
        <v>168</v>
      </c>
      <c r="M217" s="64"/>
      <c r="N217" s="97" t="s">
        <v>889</v>
      </c>
      <c r="R217">
        <v>0</v>
      </c>
      <c r="S217">
        <v>0</v>
      </c>
      <c r="T217">
        <v>11</v>
      </c>
      <c r="U217">
        <v>11</v>
      </c>
      <c r="V217" s="13"/>
    </row>
    <row r="218" spans="2:22" ht="29.45" customHeight="1">
      <c r="B218" s="50"/>
      <c r="C218" s="64" t="s">
        <v>890</v>
      </c>
      <c r="D218" s="64" t="s">
        <v>891</v>
      </c>
      <c r="E218" s="75" t="s">
        <v>892</v>
      </c>
      <c r="F218" s="100" t="s">
        <v>87</v>
      </c>
      <c r="G218" t="s">
        <v>149</v>
      </c>
      <c r="H218" t="s">
        <v>89</v>
      </c>
      <c r="I218" t="s">
        <v>90</v>
      </c>
      <c r="J218" t="s">
        <v>204</v>
      </c>
      <c r="K218" t="s">
        <v>168</v>
      </c>
      <c r="M218" s="64"/>
      <c r="N218" s="97" t="s">
        <v>893</v>
      </c>
      <c r="R218">
        <v>0</v>
      </c>
      <c r="S218">
        <v>0</v>
      </c>
      <c r="T218">
        <v>11</v>
      </c>
      <c r="U218">
        <v>11</v>
      </c>
      <c r="V218" s="13"/>
    </row>
    <row r="219" spans="2:22" ht="29.45" customHeight="1">
      <c r="B219" s="50"/>
      <c r="C219" s="64" t="s">
        <v>890</v>
      </c>
      <c r="D219" s="64" t="s">
        <v>894</v>
      </c>
      <c r="E219" s="66" t="s">
        <v>895</v>
      </c>
      <c r="F219" s="100" t="s">
        <v>87</v>
      </c>
      <c r="G219" t="s">
        <v>149</v>
      </c>
      <c r="H219" t="s">
        <v>89</v>
      </c>
      <c r="I219" t="s">
        <v>90</v>
      </c>
      <c r="J219" t="s">
        <v>204</v>
      </c>
      <c r="K219" t="s">
        <v>168</v>
      </c>
      <c r="M219" s="64"/>
      <c r="N219" s="97" t="s">
        <v>896</v>
      </c>
      <c r="R219">
        <v>0</v>
      </c>
      <c r="S219">
        <v>0</v>
      </c>
      <c r="T219">
        <v>11</v>
      </c>
      <c r="U219">
        <v>11</v>
      </c>
      <c r="V219" s="13"/>
    </row>
    <row r="220" spans="2:22" ht="51.6" customHeight="1">
      <c r="B220" s="50"/>
      <c r="C220" s="64" t="s">
        <v>897</v>
      </c>
      <c r="D220" s="64" t="s">
        <v>898</v>
      </c>
      <c r="E220" s="109" t="s">
        <v>899</v>
      </c>
      <c r="F220" s="100" t="s">
        <v>87</v>
      </c>
      <c r="G220" t="s">
        <v>149</v>
      </c>
      <c r="H220" t="s">
        <v>89</v>
      </c>
      <c r="I220" t="s">
        <v>90</v>
      </c>
      <c r="J220" t="s">
        <v>204</v>
      </c>
      <c r="K220" t="s">
        <v>168</v>
      </c>
      <c r="M220" s="64"/>
      <c r="N220" s="92" t="s">
        <v>900</v>
      </c>
      <c r="R220">
        <v>0</v>
      </c>
      <c r="S220">
        <v>0</v>
      </c>
      <c r="T220">
        <v>11</v>
      </c>
      <c r="U220">
        <v>11</v>
      </c>
      <c r="V220" s="13"/>
    </row>
    <row r="221" spans="2:22" ht="51.6" customHeight="1">
      <c r="B221" s="50"/>
      <c r="C221" s="64" t="s">
        <v>897</v>
      </c>
      <c r="D221" s="64" t="s">
        <v>901</v>
      </c>
      <c r="E221" s="78" t="s">
        <v>902</v>
      </c>
      <c r="F221" s="100" t="s">
        <v>87</v>
      </c>
      <c r="G221" t="s">
        <v>149</v>
      </c>
      <c r="H221" t="s">
        <v>89</v>
      </c>
      <c r="I221" t="s">
        <v>90</v>
      </c>
      <c r="J221" t="s">
        <v>204</v>
      </c>
      <c r="K221" t="s">
        <v>168</v>
      </c>
      <c r="M221" s="64"/>
      <c r="N221" s="92" t="s">
        <v>903</v>
      </c>
      <c r="R221">
        <v>0</v>
      </c>
      <c r="S221">
        <v>0</v>
      </c>
      <c r="T221">
        <v>11</v>
      </c>
      <c r="U221">
        <v>11</v>
      </c>
      <c r="V221" s="13"/>
    </row>
    <row r="222" spans="2:22" ht="51.6" customHeight="1">
      <c r="B222" s="50"/>
      <c r="C222" s="64" t="s">
        <v>897</v>
      </c>
      <c r="D222" s="64" t="s">
        <v>904</v>
      </c>
      <c r="E222" s="78" t="s">
        <v>905</v>
      </c>
      <c r="F222" s="100" t="s">
        <v>87</v>
      </c>
      <c r="G222" t="s">
        <v>149</v>
      </c>
      <c r="H222" t="s">
        <v>89</v>
      </c>
      <c r="I222" t="s">
        <v>90</v>
      </c>
      <c r="J222" t="s">
        <v>204</v>
      </c>
      <c r="K222" t="s">
        <v>168</v>
      </c>
      <c r="M222" s="64"/>
      <c r="N222" s="92" t="s">
        <v>906</v>
      </c>
      <c r="R222">
        <v>0</v>
      </c>
      <c r="S222">
        <v>0</v>
      </c>
      <c r="T222">
        <v>11</v>
      </c>
      <c r="U222">
        <v>11</v>
      </c>
      <c r="V222" s="13"/>
    </row>
    <row r="223" spans="2:22">
      <c r="B223" s="50"/>
      <c r="C223" s="64" t="s">
        <v>907</v>
      </c>
      <c r="D223" s="64" t="s">
        <v>908</v>
      </c>
      <c r="E223" s="78" t="s">
        <v>909</v>
      </c>
      <c r="F223" s="100" t="s">
        <v>87</v>
      </c>
      <c r="G223" t="s">
        <v>149</v>
      </c>
      <c r="H223" t="s">
        <v>89</v>
      </c>
      <c r="I223" t="s">
        <v>90</v>
      </c>
      <c r="J223" t="s">
        <v>204</v>
      </c>
      <c r="K223" t="s">
        <v>168</v>
      </c>
      <c r="M223" s="64"/>
      <c r="N223" s="92" t="s">
        <v>910</v>
      </c>
      <c r="R223">
        <v>0</v>
      </c>
      <c r="S223">
        <v>0</v>
      </c>
      <c r="T223">
        <v>11</v>
      </c>
      <c r="U223">
        <v>11</v>
      </c>
      <c r="V223" s="13"/>
    </row>
    <row r="224" spans="2:22">
      <c r="B224" s="50"/>
      <c r="C224" s="64" t="s">
        <v>907</v>
      </c>
      <c r="D224" s="64" t="s">
        <v>911</v>
      </c>
      <c r="E224" s="78" t="s">
        <v>912</v>
      </c>
      <c r="F224" s="100" t="s">
        <v>87</v>
      </c>
      <c r="G224" t="s">
        <v>149</v>
      </c>
      <c r="H224" t="s">
        <v>89</v>
      </c>
      <c r="I224" t="s">
        <v>90</v>
      </c>
      <c r="J224" t="s">
        <v>204</v>
      </c>
      <c r="K224" t="s">
        <v>168</v>
      </c>
      <c r="M224" s="64"/>
      <c r="N224" s="92" t="s">
        <v>913</v>
      </c>
      <c r="R224">
        <v>0</v>
      </c>
      <c r="S224">
        <v>0</v>
      </c>
      <c r="T224">
        <v>11</v>
      </c>
      <c r="U224">
        <v>11</v>
      </c>
      <c r="V224" s="13"/>
    </row>
    <row r="225" spans="2:22" ht="30">
      <c r="B225" s="50"/>
      <c r="C225" s="64" t="s">
        <v>907</v>
      </c>
      <c r="D225" s="64" t="s">
        <v>914</v>
      </c>
      <c r="E225" s="78" t="s">
        <v>915</v>
      </c>
      <c r="F225" s="100" t="s">
        <v>87</v>
      </c>
      <c r="G225" t="s">
        <v>149</v>
      </c>
      <c r="H225" t="s">
        <v>89</v>
      </c>
      <c r="I225" t="s">
        <v>90</v>
      </c>
      <c r="J225" t="s">
        <v>204</v>
      </c>
      <c r="K225" t="s">
        <v>168</v>
      </c>
      <c r="M225" s="64"/>
      <c r="N225" s="92" t="s">
        <v>916</v>
      </c>
      <c r="R225">
        <v>0</v>
      </c>
      <c r="S225">
        <v>0</v>
      </c>
      <c r="T225">
        <v>11</v>
      </c>
      <c r="U225">
        <v>11</v>
      </c>
      <c r="V225" s="13"/>
    </row>
    <row r="226" spans="2:22">
      <c r="B226" s="50"/>
      <c r="C226" s="64" t="s">
        <v>917</v>
      </c>
      <c r="D226" s="64" t="s">
        <v>918</v>
      </c>
      <c r="E226" s="78" t="s">
        <v>919</v>
      </c>
      <c r="F226" s="100" t="s">
        <v>87</v>
      </c>
      <c r="G226" t="s">
        <v>149</v>
      </c>
      <c r="H226" t="s">
        <v>89</v>
      </c>
      <c r="I226" t="s">
        <v>90</v>
      </c>
      <c r="J226" t="s">
        <v>204</v>
      </c>
      <c r="K226" t="s">
        <v>168</v>
      </c>
      <c r="M226" s="64"/>
      <c r="N226" s="92" t="s">
        <v>920</v>
      </c>
      <c r="R226">
        <v>0</v>
      </c>
      <c r="S226">
        <v>0</v>
      </c>
      <c r="T226">
        <v>11</v>
      </c>
      <c r="U226">
        <v>11</v>
      </c>
      <c r="V226" s="13"/>
    </row>
    <row r="227" spans="2:22">
      <c r="B227" s="50"/>
      <c r="C227" s="64" t="s">
        <v>917</v>
      </c>
      <c r="D227" s="64" t="s">
        <v>921</v>
      </c>
      <c r="E227" s="78" t="s">
        <v>922</v>
      </c>
      <c r="F227" s="100" t="s">
        <v>87</v>
      </c>
      <c r="G227" t="s">
        <v>149</v>
      </c>
      <c r="H227" t="s">
        <v>89</v>
      </c>
      <c r="I227" t="s">
        <v>90</v>
      </c>
      <c r="J227" t="s">
        <v>204</v>
      </c>
      <c r="K227" t="s">
        <v>168</v>
      </c>
      <c r="M227" s="64"/>
      <c r="N227" s="92" t="s">
        <v>923</v>
      </c>
      <c r="R227">
        <v>0</v>
      </c>
      <c r="S227">
        <v>0</v>
      </c>
      <c r="T227">
        <v>11</v>
      </c>
      <c r="U227">
        <v>11</v>
      </c>
      <c r="V227" s="13"/>
    </row>
    <row r="228" spans="2:22" ht="30">
      <c r="B228" s="50"/>
      <c r="C228" s="64" t="s">
        <v>917</v>
      </c>
      <c r="D228" s="64" t="s">
        <v>924</v>
      </c>
      <c r="E228" s="78" t="s">
        <v>925</v>
      </c>
      <c r="F228" s="100" t="s">
        <v>87</v>
      </c>
      <c r="G228" t="s">
        <v>149</v>
      </c>
      <c r="H228" t="s">
        <v>89</v>
      </c>
      <c r="I228" t="s">
        <v>90</v>
      </c>
      <c r="J228" t="s">
        <v>204</v>
      </c>
      <c r="K228" t="s">
        <v>168</v>
      </c>
      <c r="M228" s="64"/>
      <c r="N228" s="92" t="s">
        <v>926</v>
      </c>
      <c r="R228">
        <v>0</v>
      </c>
      <c r="S228">
        <v>0</v>
      </c>
      <c r="T228">
        <v>11</v>
      </c>
      <c r="U228">
        <v>11</v>
      </c>
      <c r="V228" s="13"/>
    </row>
    <row r="229" spans="2:22" ht="45.6" customHeight="1">
      <c r="B229" s="50"/>
      <c r="C229" s="64" t="s">
        <v>927</v>
      </c>
      <c r="D229" s="64" t="s">
        <v>928</v>
      </c>
      <c r="E229" s="109" t="s">
        <v>899</v>
      </c>
      <c r="F229" s="100" t="s">
        <v>87</v>
      </c>
      <c r="G229" t="s">
        <v>149</v>
      </c>
      <c r="H229" t="s">
        <v>89</v>
      </c>
      <c r="I229" t="s">
        <v>90</v>
      </c>
      <c r="J229" t="s">
        <v>204</v>
      </c>
      <c r="K229" t="s">
        <v>168</v>
      </c>
      <c r="M229" s="64"/>
      <c r="N229" s="92" t="s">
        <v>929</v>
      </c>
      <c r="R229">
        <v>0</v>
      </c>
      <c r="S229">
        <v>0</v>
      </c>
      <c r="T229">
        <v>11</v>
      </c>
      <c r="U229">
        <v>11</v>
      </c>
      <c r="V229" s="13"/>
    </row>
    <row r="230" spans="2:22" ht="38.450000000000003" customHeight="1">
      <c r="B230" s="50"/>
      <c r="C230" s="64" t="s">
        <v>927</v>
      </c>
      <c r="D230" s="64" t="s">
        <v>930</v>
      </c>
      <c r="E230" s="109" t="s">
        <v>902</v>
      </c>
      <c r="F230" s="100" t="s">
        <v>87</v>
      </c>
      <c r="G230" t="s">
        <v>149</v>
      </c>
      <c r="H230" t="s">
        <v>89</v>
      </c>
      <c r="I230" t="s">
        <v>90</v>
      </c>
      <c r="J230" t="s">
        <v>204</v>
      </c>
      <c r="K230" t="s">
        <v>168</v>
      </c>
      <c r="M230" s="64"/>
      <c r="N230" s="92" t="s">
        <v>931</v>
      </c>
      <c r="R230">
        <v>0</v>
      </c>
      <c r="S230">
        <v>0</v>
      </c>
      <c r="T230">
        <v>11</v>
      </c>
      <c r="U230">
        <v>11</v>
      </c>
      <c r="V230" s="13"/>
    </row>
    <row r="231" spans="2:22" ht="48.6" customHeight="1">
      <c r="B231" s="50"/>
      <c r="C231" s="64" t="s">
        <v>927</v>
      </c>
      <c r="D231" s="64" t="s">
        <v>932</v>
      </c>
      <c r="E231" s="109" t="s">
        <v>905</v>
      </c>
      <c r="F231" s="100" t="s">
        <v>87</v>
      </c>
      <c r="G231" t="s">
        <v>149</v>
      </c>
      <c r="H231" t="s">
        <v>89</v>
      </c>
      <c r="I231" t="s">
        <v>90</v>
      </c>
      <c r="J231" t="s">
        <v>204</v>
      </c>
      <c r="K231" t="s">
        <v>168</v>
      </c>
      <c r="M231" s="64"/>
      <c r="N231" s="92" t="s">
        <v>933</v>
      </c>
      <c r="R231">
        <v>0</v>
      </c>
      <c r="S231">
        <v>0</v>
      </c>
      <c r="T231">
        <v>11</v>
      </c>
      <c r="U231">
        <v>11</v>
      </c>
      <c r="V231" s="13"/>
    </row>
    <row r="232" spans="2:22">
      <c r="B232" s="50"/>
      <c r="C232" s="64" t="s">
        <v>934</v>
      </c>
      <c r="D232" s="64" t="s">
        <v>935</v>
      </c>
      <c r="E232" s="116" t="s">
        <v>936</v>
      </c>
      <c r="F232" s="100" t="s">
        <v>87</v>
      </c>
      <c r="G232" t="s">
        <v>149</v>
      </c>
      <c r="H232" t="s">
        <v>89</v>
      </c>
      <c r="I232" t="s">
        <v>90</v>
      </c>
      <c r="J232" t="s">
        <v>204</v>
      </c>
      <c r="K232" t="s">
        <v>168</v>
      </c>
      <c r="M232" s="64"/>
      <c r="N232" s="92" t="s">
        <v>937</v>
      </c>
      <c r="R232">
        <v>0</v>
      </c>
      <c r="S232">
        <v>0</v>
      </c>
      <c r="T232">
        <v>11</v>
      </c>
      <c r="U232">
        <v>11</v>
      </c>
      <c r="V232" s="13"/>
    </row>
    <row r="233" spans="2:22">
      <c r="B233" s="50"/>
      <c r="C233" s="64" t="s">
        <v>934</v>
      </c>
      <c r="D233" s="64" t="s">
        <v>938</v>
      </c>
      <c r="E233" s="117" t="s">
        <v>939</v>
      </c>
      <c r="F233" s="100" t="s">
        <v>87</v>
      </c>
      <c r="G233" t="s">
        <v>149</v>
      </c>
      <c r="H233" t="s">
        <v>89</v>
      </c>
      <c r="I233" t="s">
        <v>90</v>
      </c>
      <c r="J233" t="s">
        <v>204</v>
      </c>
      <c r="K233" t="s">
        <v>168</v>
      </c>
      <c r="M233" s="64"/>
      <c r="N233" s="92" t="s">
        <v>940</v>
      </c>
      <c r="R233">
        <v>0</v>
      </c>
      <c r="S233">
        <v>0</v>
      </c>
      <c r="T233">
        <v>11</v>
      </c>
      <c r="U233">
        <v>11</v>
      </c>
      <c r="V233" s="13"/>
    </row>
    <row r="234" spans="2:22" ht="30">
      <c r="B234" s="50"/>
      <c r="C234" s="64" t="s">
        <v>934</v>
      </c>
      <c r="D234" s="64" t="s">
        <v>941</v>
      </c>
      <c r="E234" s="117" t="s">
        <v>942</v>
      </c>
      <c r="F234" s="100" t="s">
        <v>87</v>
      </c>
      <c r="G234" t="s">
        <v>149</v>
      </c>
      <c r="H234" t="s">
        <v>89</v>
      </c>
      <c r="I234" t="s">
        <v>90</v>
      </c>
      <c r="J234" t="s">
        <v>204</v>
      </c>
      <c r="K234" t="s">
        <v>168</v>
      </c>
      <c r="M234" s="64"/>
      <c r="N234" s="92" t="s">
        <v>943</v>
      </c>
      <c r="R234">
        <v>0</v>
      </c>
      <c r="S234">
        <v>0</v>
      </c>
      <c r="T234">
        <v>11</v>
      </c>
      <c r="U234">
        <v>11</v>
      </c>
      <c r="V234" s="13"/>
    </row>
    <row r="235" spans="2:22">
      <c r="B235" s="50"/>
      <c r="C235" s="64" t="s">
        <v>944</v>
      </c>
      <c r="D235" s="67" t="s">
        <v>945</v>
      </c>
      <c r="E235" s="117" t="s">
        <v>909</v>
      </c>
      <c r="F235" s="100" t="s">
        <v>87</v>
      </c>
      <c r="G235" t="s">
        <v>149</v>
      </c>
      <c r="H235" t="s">
        <v>89</v>
      </c>
      <c r="I235" t="s">
        <v>90</v>
      </c>
      <c r="J235" t="s">
        <v>204</v>
      </c>
      <c r="K235" t="s">
        <v>168</v>
      </c>
      <c r="M235" s="64"/>
      <c r="N235" s="92" t="s">
        <v>946</v>
      </c>
      <c r="R235">
        <v>0</v>
      </c>
      <c r="S235">
        <v>0</v>
      </c>
      <c r="T235">
        <v>11</v>
      </c>
      <c r="U235">
        <v>11</v>
      </c>
      <c r="V235" s="13"/>
    </row>
    <row r="236" spans="2:22">
      <c r="B236" s="50"/>
      <c r="C236" s="64" t="s">
        <v>944</v>
      </c>
      <c r="D236" s="67" t="s">
        <v>947</v>
      </c>
      <c r="E236" s="67" t="s">
        <v>948</v>
      </c>
      <c r="F236" s="100" t="s">
        <v>87</v>
      </c>
      <c r="G236" t="s">
        <v>149</v>
      </c>
      <c r="H236" t="s">
        <v>89</v>
      </c>
      <c r="I236" t="s">
        <v>90</v>
      </c>
      <c r="J236" t="s">
        <v>204</v>
      </c>
      <c r="K236" t="s">
        <v>168</v>
      </c>
      <c r="M236" s="64"/>
      <c r="N236" s="92" t="s">
        <v>949</v>
      </c>
      <c r="R236">
        <v>0</v>
      </c>
      <c r="S236">
        <v>0</v>
      </c>
      <c r="T236">
        <v>11</v>
      </c>
      <c r="U236">
        <v>11</v>
      </c>
      <c r="V236" s="13"/>
    </row>
    <row r="237" spans="2:22" ht="30">
      <c r="B237" s="50"/>
      <c r="C237" s="64" t="s">
        <v>944</v>
      </c>
      <c r="D237" s="67" t="s">
        <v>950</v>
      </c>
      <c r="E237" s="67" t="s">
        <v>951</v>
      </c>
      <c r="F237" s="100" t="s">
        <v>87</v>
      </c>
      <c r="G237" t="s">
        <v>149</v>
      </c>
      <c r="H237" t="s">
        <v>89</v>
      </c>
      <c r="I237" t="s">
        <v>90</v>
      </c>
      <c r="J237" t="s">
        <v>204</v>
      </c>
      <c r="K237" t="s">
        <v>168</v>
      </c>
      <c r="M237" s="64"/>
      <c r="N237" s="92" t="s">
        <v>952</v>
      </c>
      <c r="R237">
        <v>0</v>
      </c>
      <c r="S237">
        <v>0</v>
      </c>
      <c r="T237">
        <v>11</v>
      </c>
      <c r="U237">
        <v>11</v>
      </c>
      <c r="V237" s="13"/>
    </row>
    <row r="238" spans="2:22" ht="26.45" customHeight="1">
      <c r="B238" s="50"/>
      <c r="C238" s="64" t="s">
        <v>953</v>
      </c>
      <c r="D238" s="71" t="s">
        <v>954</v>
      </c>
      <c r="E238" s="64" t="s">
        <v>955</v>
      </c>
      <c r="F238" s="100" t="s">
        <v>87</v>
      </c>
      <c r="G238" t="s">
        <v>259</v>
      </c>
      <c r="H238" t="s">
        <v>89</v>
      </c>
      <c r="I238" t="s">
        <v>90</v>
      </c>
      <c r="J238" t="s">
        <v>204</v>
      </c>
      <c r="K238" t="s">
        <v>168</v>
      </c>
      <c r="M238" s="64"/>
      <c r="N238" s="92" t="s">
        <v>956</v>
      </c>
      <c r="U238">
        <v>250</v>
      </c>
      <c r="V238" s="13" t="s">
        <v>215</v>
      </c>
    </row>
    <row r="239" spans="2:22" ht="27.6" customHeight="1">
      <c r="B239" s="50"/>
      <c r="C239" s="64" t="s">
        <v>957</v>
      </c>
      <c r="D239" s="64" t="s">
        <v>958</v>
      </c>
      <c r="E239" s="64" t="s">
        <v>959</v>
      </c>
      <c r="F239" s="100" t="s">
        <v>87</v>
      </c>
      <c r="G239" t="s">
        <v>149</v>
      </c>
      <c r="H239" t="s">
        <v>89</v>
      </c>
      <c r="I239" t="s">
        <v>90</v>
      </c>
      <c r="J239" t="s">
        <v>204</v>
      </c>
      <c r="K239" t="s">
        <v>168</v>
      </c>
      <c r="M239" s="64"/>
      <c r="N239" s="92" t="s">
        <v>960</v>
      </c>
      <c r="R239">
        <v>0</v>
      </c>
      <c r="S239">
        <v>0</v>
      </c>
      <c r="T239">
        <v>11</v>
      </c>
      <c r="U239">
        <v>11</v>
      </c>
      <c r="V239" s="13"/>
    </row>
    <row r="240" spans="2:22" ht="27.6" customHeight="1">
      <c r="B240" s="50"/>
      <c r="C240" s="64" t="s">
        <v>961</v>
      </c>
      <c r="D240" s="64" t="s">
        <v>962</v>
      </c>
      <c r="E240" s="64" t="s">
        <v>963</v>
      </c>
      <c r="F240" s="100" t="s">
        <v>87</v>
      </c>
      <c r="G240" t="s">
        <v>149</v>
      </c>
      <c r="H240" t="s">
        <v>89</v>
      </c>
      <c r="I240" t="s">
        <v>90</v>
      </c>
      <c r="J240" t="s">
        <v>204</v>
      </c>
      <c r="K240" t="s">
        <v>168</v>
      </c>
      <c r="M240" s="64"/>
      <c r="N240" s="92" t="s">
        <v>964</v>
      </c>
      <c r="R240">
        <v>0</v>
      </c>
      <c r="S240">
        <v>0</v>
      </c>
      <c r="T240">
        <v>11</v>
      </c>
      <c r="U240">
        <v>11</v>
      </c>
      <c r="V240" s="13"/>
    </row>
    <row r="241" spans="2:22">
      <c r="B241" s="50"/>
      <c r="C241" s="64" t="s">
        <v>965</v>
      </c>
      <c r="D241" s="64" t="s">
        <v>966</v>
      </c>
      <c r="E241" s="64" t="s">
        <v>967</v>
      </c>
      <c r="F241" s="100" t="s">
        <v>87</v>
      </c>
      <c r="G241" t="s">
        <v>149</v>
      </c>
      <c r="H241" t="s">
        <v>89</v>
      </c>
      <c r="I241" t="s">
        <v>90</v>
      </c>
      <c r="J241" t="s">
        <v>204</v>
      </c>
      <c r="K241" t="s">
        <v>168</v>
      </c>
      <c r="M241" s="64"/>
      <c r="N241" s="92" t="s">
        <v>968</v>
      </c>
      <c r="R241">
        <v>0</v>
      </c>
      <c r="S241">
        <v>0</v>
      </c>
      <c r="T241">
        <v>11</v>
      </c>
      <c r="U241">
        <v>11</v>
      </c>
      <c r="V241" s="13"/>
    </row>
    <row r="242" spans="2:22" ht="50.45" customHeight="1">
      <c r="B242" s="50"/>
      <c r="C242" s="64" t="s">
        <v>969</v>
      </c>
      <c r="D242" s="64" t="s">
        <v>970</v>
      </c>
      <c r="E242" s="64" t="s">
        <v>971</v>
      </c>
      <c r="F242" s="100" t="s">
        <v>87</v>
      </c>
      <c r="G242" t="s">
        <v>149</v>
      </c>
      <c r="H242" t="s">
        <v>89</v>
      </c>
      <c r="I242" t="s">
        <v>90</v>
      </c>
      <c r="J242" t="s">
        <v>204</v>
      </c>
      <c r="K242" t="s">
        <v>168</v>
      </c>
      <c r="M242" s="64"/>
      <c r="N242" s="92" t="s">
        <v>972</v>
      </c>
      <c r="R242">
        <v>0</v>
      </c>
      <c r="S242">
        <v>0</v>
      </c>
      <c r="T242">
        <v>11</v>
      </c>
      <c r="U242">
        <v>11</v>
      </c>
      <c r="V242" s="13"/>
    </row>
    <row r="243" spans="2:22" ht="49.5" customHeight="1">
      <c r="B243" s="50"/>
      <c r="C243" s="64" t="s">
        <v>973</v>
      </c>
      <c r="D243" s="64" t="s">
        <v>974</v>
      </c>
      <c r="E243" s="64" t="s">
        <v>975</v>
      </c>
      <c r="F243" s="100" t="s">
        <v>87</v>
      </c>
      <c r="G243" t="s">
        <v>149</v>
      </c>
      <c r="H243" t="s">
        <v>89</v>
      </c>
      <c r="I243" t="s">
        <v>90</v>
      </c>
      <c r="J243" t="s">
        <v>204</v>
      </c>
      <c r="K243" t="s">
        <v>168</v>
      </c>
      <c r="M243" s="64"/>
      <c r="N243" s="92" t="s">
        <v>976</v>
      </c>
      <c r="R243">
        <v>0</v>
      </c>
      <c r="S243">
        <v>0</v>
      </c>
      <c r="T243">
        <v>11</v>
      </c>
      <c r="U243">
        <v>11</v>
      </c>
      <c r="V243" s="13"/>
    </row>
    <row r="244" spans="2:22" ht="37.5" customHeight="1">
      <c r="B244" s="50"/>
      <c r="C244" s="64" t="s">
        <v>977</v>
      </c>
      <c r="D244" s="64" t="s">
        <v>978</v>
      </c>
      <c r="E244" s="64" t="s">
        <v>979</v>
      </c>
      <c r="F244" s="100" t="s">
        <v>87</v>
      </c>
      <c r="G244" t="s">
        <v>149</v>
      </c>
      <c r="H244" t="s">
        <v>89</v>
      </c>
      <c r="I244" t="s">
        <v>90</v>
      </c>
      <c r="J244" t="s">
        <v>204</v>
      </c>
      <c r="K244" t="s">
        <v>168</v>
      </c>
      <c r="M244" s="64"/>
      <c r="N244" s="92" t="s">
        <v>980</v>
      </c>
      <c r="R244">
        <v>0</v>
      </c>
      <c r="S244">
        <v>0</v>
      </c>
      <c r="T244">
        <v>11</v>
      </c>
      <c r="U244">
        <v>11</v>
      </c>
      <c r="V244" s="13"/>
    </row>
    <row r="245" spans="2:22" ht="30" customHeight="1">
      <c r="B245" s="50"/>
      <c r="C245" s="64" t="s">
        <v>981</v>
      </c>
      <c r="D245" s="64" t="s">
        <v>982</v>
      </c>
      <c r="E245" s="64" t="s">
        <v>983</v>
      </c>
      <c r="F245" s="100" t="s">
        <v>87</v>
      </c>
      <c r="G245" t="s">
        <v>149</v>
      </c>
      <c r="H245" t="s">
        <v>89</v>
      </c>
      <c r="I245" t="s">
        <v>90</v>
      </c>
      <c r="J245" t="s">
        <v>204</v>
      </c>
      <c r="K245" t="s">
        <v>168</v>
      </c>
      <c r="M245" s="64"/>
      <c r="N245" s="92" t="s">
        <v>984</v>
      </c>
      <c r="R245">
        <v>0</v>
      </c>
      <c r="S245">
        <v>0</v>
      </c>
      <c r="T245">
        <v>11</v>
      </c>
      <c r="U245">
        <v>11</v>
      </c>
      <c r="V245" s="13"/>
    </row>
    <row r="246" spans="2:22" ht="27.6" customHeight="1">
      <c r="B246" s="50"/>
      <c r="C246" s="64" t="s">
        <v>985</v>
      </c>
      <c r="D246" s="64" t="s">
        <v>986</v>
      </c>
      <c r="E246" s="64" t="s">
        <v>987</v>
      </c>
      <c r="F246" s="100" t="s">
        <v>87</v>
      </c>
      <c r="G246" t="s">
        <v>149</v>
      </c>
      <c r="H246" t="s">
        <v>89</v>
      </c>
      <c r="I246" t="s">
        <v>90</v>
      </c>
      <c r="J246" t="s">
        <v>204</v>
      </c>
      <c r="K246" t="s">
        <v>168</v>
      </c>
      <c r="M246" s="64"/>
      <c r="N246" s="92" t="s">
        <v>988</v>
      </c>
      <c r="R246">
        <v>0</v>
      </c>
      <c r="S246">
        <v>0</v>
      </c>
      <c r="T246">
        <v>11</v>
      </c>
      <c r="U246">
        <v>11</v>
      </c>
      <c r="V246" s="13"/>
    </row>
    <row r="247" spans="2:22">
      <c r="B247" s="50"/>
      <c r="C247" s="64" t="s">
        <v>989</v>
      </c>
      <c r="D247" s="64" t="s">
        <v>990</v>
      </c>
      <c r="E247" s="64" t="s">
        <v>991</v>
      </c>
      <c r="F247" s="100" t="s">
        <v>87</v>
      </c>
      <c r="G247" t="s">
        <v>149</v>
      </c>
      <c r="H247" t="s">
        <v>89</v>
      </c>
      <c r="I247" t="s">
        <v>90</v>
      </c>
      <c r="J247" t="s">
        <v>204</v>
      </c>
      <c r="K247" t="s">
        <v>168</v>
      </c>
      <c r="M247" s="64"/>
      <c r="N247" s="92" t="s">
        <v>992</v>
      </c>
      <c r="R247">
        <v>0</v>
      </c>
      <c r="S247">
        <v>0</v>
      </c>
      <c r="T247">
        <v>11</v>
      </c>
      <c r="U247">
        <v>11</v>
      </c>
      <c r="V247" s="13"/>
    </row>
    <row r="248" spans="2:22" ht="28.5" customHeight="1">
      <c r="B248" s="50"/>
      <c r="C248" s="64" t="s">
        <v>993</v>
      </c>
      <c r="D248" s="64" t="s">
        <v>994</v>
      </c>
      <c r="E248" s="64" t="s">
        <v>995</v>
      </c>
      <c r="F248" s="100" t="s">
        <v>87</v>
      </c>
      <c r="G248" t="s">
        <v>149</v>
      </c>
      <c r="H248" t="s">
        <v>89</v>
      </c>
      <c r="I248" t="s">
        <v>90</v>
      </c>
      <c r="J248" t="s">
        <v>204</v>
      </c>
      <c r="K248" t="s">
        <v>168</v>
      </c>
      <c r="M248" s="64"/>
      <c r="N248" s="92" t="s">
        <v>996</v>
      </c>
      <c r="R248">
        <v>0</v>
      </c>
      <c r="S248">
        <v>0</v>
      </c>
      <c r="T248">
        <v>11</v>
      </c>
      <c r="U248">
        <v>11</v>
      </c>
      <c r="V248" s="13"/>
    </row>
    <row r="249" spans="2:22" ht="27.95" customHeight="1">
      <c r="B249" s="50"/>
      <c r="C249" s="64" t="s">
        <v>997</v>
      </c>
      <c r="D249" s="64" t="s">
        <v>998</v>
      </c>
      <c r="E249" s="118" t="s">
        <v>999</v>
      </c>
      <c r="F249" s="100" t="s">
        <v>87</v>
      </c>
      <c r="G249" t="s">
        <v>259</v>
      </c>
      <c r="H249" t="s">
        <v>89</v>
      </c>
      <c r="I249" t="s">
        <v>90</v>
      </c>
      <c r="J249" t="s">
        <v>204</v>
      </c>
      <c r="K249" t="s">
        <v>168</v>
      </c>
      <c r="M249" s="64"/>
      <c r="N249" s="68" t="s">
        <v>1000</v>
      </c>
      <c r="U249">
        <v>250</v>
      </c>
      <c r="V249" s="13" t="s">
        <v>215</v>
      </c>
    </row>
    <row r="250" spans="2:22" ht="27.6" customHeight="1">
      <c r="B250" s="50"/>
      <c r="C250" s="64" t="s">
        <v>1001</v>
      </c>
      <c r="D250" s="72" t="s">
        <v>1002</v>
      </c>
      <c r="E250" s="64" t="s">
        <v>1003</v>
      </c>
      <c r="F250" s="100" t="s">
        <v>87</v>
      </c>
      <c r="G250" t="s">
        <v>102</v>
      </c>
      <c r="H250" t="s">
        <v>89</v>
      </c>
      <c r="I250" t="s">
        <v>90</v>
      </c>
      <c r="J250" t="s">
        <v>204</v>
      </c>
      <c r="K250" t="s">
        <v>168</v>
      </c>
      <c r="M250" s="64"/>
      <c r="N250" s="92" t="s">
        <v>1004</v>
      </c>
      <c r="S250">
        <v>0</v>
      </c>
      <c r="T250">
        <v>3</v>
      </c>
      <c r="U250">
        <v>3</v>
      </c>
      <c r="V250" s="13"/>
    </row>
    <row r="251" spans="2:22">
      <c r="B251" s="50"/>
      <c r="C251" s="64" t="s">
        <v>1005</v>
      </c>
      <c r="D251" s="71" t="s">
        <v>1006</v>
      </c>
      <c r="E251" s="109" t="s">
        <v>1007</v>
      </c>
      <c r="F251" s="100" t="s">
        <v>87</v>
      </c>
      <c r="G251" t="s">
        <v>149</v>
      </c>
      <c r="H251" t="s">
        <v>89</v>
      </c>
      <c r="I251" t="s">
        <v>90</v>
      </c>
      <c r="J251" t="s">
        <v>204</v>
      </c>
      <c r="K251" t="s">
        <v>168</v>
      </c>
      <c r="M251" s="64"/>
      <c r="N251" s="92" t="s">
        <v>1008</v>
      </c>
      <c r="R251">
        <v>0</v>
      </c>
      <c r="S251">
        <v>0</v>
      </c>
      <c r="T251">
        <v>11</v>
      </c>
      <c r="U251">
        <v>11</v>
      </c>
      <c r="V251" s="13"/>
    </row>
    <row r="252" spans="2:22">
      <c r="B252" s="50"/>
      <c r="C252" s="64" t="s">
        <v>1005</v>
      </c>
      <c r="D252" s="71" t="s">
        <v>1009</v>
      </c>
      <c r="E252" s="109" t="s">
        <v>1010</v>
      </c>
      <c r="F252" s="100" t="s">
        <v>87</v>
      </c>
      <c r="G252" t="s">
        <v>149</v>
      </c>
      <c r="H252" t="s">
        <v>89</v>
      </c>
      <c r="I252" t="s">
        <v>90</v>
      </c>
      <c r="J252" t="s">
        <v>204</v>
      </c>
      <c r="K252" t="s">
        <v>168</v>
      </c>
      <c r="M252" s="64"/>
      <c r="N252" s="92" t="s">
        <v>1008</v>
      </c>
      <c r="R252">
        <v>0</v>
      </c>
      <c r="S252">
        <v>0</v>
      </c>
      <c r="T252">
        <v>11</v>
      </c>
      <c r="U252">
        <v>11</v>
      </c>
      <c r="V252" s="13"/>
    </row>
    <row r="253" spans="2:22">
      <c r="B253" s="50"/>
      <c r="C253" s="64" t="s">
        <v>1005</v>
      </c>
      <c r="D253" s="71" t="s">
        <v>1011</v>
      </c>
      <c r="E253" s="109" t="s">
        <v>1012</v>
      </c>
      <c r="F253" s="100" t="s">
        <v>87</v>
      </c>
      <c r="G253" t="s">
        <v>149</v>
      </c>
      <c r="H253" t="s">
        <v>89</v>
      </c>
      <c r="I253" t="s">
        <v>90</v>
      </c>
      <c r="J253" t="s">
        <v>204</v>
      </c>
      <c r="K253" t="s">
        <v>168</v>
      </c>
      <c r="M253" s="64"/>
      <c r="N253" s="92" t="s">
        <v>1008</v>
      </c>
      <c r="R253">
        <v>0</v>
      </c>
      <c r="S253">
        <v>0</v>
      </c>
      <c r="T253">
        <v>11</v>
      </c>
      <c r="U253">
        <v>11</v>
      </c>
      <c r="V253" s="13"/>
    </row>
    <row r="254" spans="2:22">
      <c r="B254" s="50"/>
      <c r="C254" s="64" t="s">
        <v>1013</v>
      </c>
      <c r="D254" s="71" t="s">
        <v>1014</v>
      </c>
      <c r="E254" s="109" t="s">
        <v>1015</v>
      </c>
      <c r="F254" s="100" t="s">
        <v>87</v>
      </c>
      <c r="G254" t="s">
        <v>149</v>
      </c>
      <c r="H254" t="s">
        <v>89</v>
      </c>
      <c r="I254" t="s">
        <v>90</v>
      </c>
      <c r="J254" t="s">
        <v>204</v>
      </c>
      <c r="K254" t="s">
        <v>168</v>
      </c>
      <c r="M254" s="64"/>
      <c r="N254" s="92" t="s">
        <v>1016</v>
      </c>
      <c r="R254">
        <v>0</v>
      </c>
      <c r="S254">
        <v>0</v>
      </c>
      <c r="T254">
        <v>11</v>
      </c>
      <c r="U254">
        <v>11</v>
      </c>
      <c r="V254" s="13"/>
    </row>
    <row r="255" spans="2:22">
      <c r="B255" s="50"/>
      <c r="C255" s="64" t="s">
        <v>1013</v>
      </c>
      <c r="D255" s="71" t="s">
        <v>1017</v>
      </c>
      <c r="E255" s="109" t="s">
        <v>1018</v>
      </c>
      <c r="F255" s="100" t="s">
        <v>87</v>
      </c>
      <c r="G255" t="s">
        <v>149</v>
      </c>
      <c r="H255" t="s">
        <v>89</v>
      </c>
      <c r="I255" t="s">
        <v>90</v>
      </c>
      <c r="J255" t="s">
        <v>204</v>
      </c>
      <c r="K255" t="s">
        <v>168</v>
      </c>
      <c r="M255" s="64"/>
      <c r="N255" s="92" t="s">
        <v>1016</v>
      </c>
      <c r="R255">
        <v>0</v>
      </c>
      <c r="S255">
        <v>0</v>
      </c>
      <c r="T255">
        <v>11</v>
      </c>
      <c r="U255">
        <v>11</v>
      </c>
      <c r="V255" s="13"/>
    </row>
    <row r="256" spans="2:22">
      <c r="B256" s="50"/>
      <c r="C256" s="64" t="s">
        <v>1013</v>
      </c>
      <c r="D256" s="71" t="s">
        <v>1019</v>
      </c>
      <c r="E256" s="109" t="s">
        <v>1020</v>
      </c>
      <c r="F256" s="100" t="s">
        <v>87</v>
      </c>
      <c r="G256" t="s">
        <v>149</v>
      </c>
      <c r="H256" t="s">
        <v>89</v>
      </c>
      <c r="I256" t="s">
        <v>90</v>
      </c>
      <c r="J256" t="s">
        <v>204</v>
      </c>
      <c r="K256" t="s">
        <v>168</v>
      </c>
      <c r="M256" s="64"/>
      <c r="N256" s="92" t="s">
        <v>1016</v>
      </c>
      <c r="R256">
        <v>0</v>
      </c>
      <c r="S256">
        <v>0</v>
      </c>
      <c r="T256">
        <v>11</v>
      </c>
      <c r="U256">
        <v>11</v>
      </c>
      <c r="V256" s="13"/>
    </row>
    <row r="257" spans="2:22">
      <c r="B257" s="50"/>
      <c r="C257" s="64" t="s">
        <v>1021</v>
      </c>
      <c r="D257" s="71" t="s">
        <v>1022</v>
      </c>
      <c r="E257" s="109" t="s">
        <v>1023</v>
      </c>
      <c r="F257" s="100" t="s">
        <v>87</v>
      </c>
      <c r="G257" t="s">
        <v>149</v>
      </c>
      <c r="H257" t="s">
        <v>89</v>
      </c>
      <c r="I257" t="s">
        <v>90</v>
      </c>
      <c r="J257" t="s">
        <v>204</v>
      </c>
      <c r="K257" t="s">
        <v>168</v>
      </c>
      <c r="M257" s="64"/>
      <c r="N257" s="92" t="s">
        <v>1024</v>
      </c>
      <c r="R257">
        <v>0</v>
      </c>
      <c r="S257">
        <v>0</v>
      </c>
      <c r="T257">
        <v>11</v>
      </c>
      <c r="U257">
        <v>11</v>
      </c>
      <c r="V257" s="13"/>
    </row>
    <row r="258" spans="2:22">
      <c r="B258" s="50"/>
      <c r="C258" s="64" t="s">
        <v>1021</v>
      </c>
      <c r="D258" s="71" t="s">
        <v>1025</v>
      </c>
      <c r="E258" s="109" t="s">
        <v>1026</v>
      </c>
      <c r="F258" s="100" t="s">
        <v>87</v>
      </c>
      <c r="G258" t="s">
        <v>149</v>
      </c>
      <c r="H258" t="s">
        <v>89</v>
      </c>
      <c r="I258" t="s">
        <v>90</v>
      </c>
      <c r="J258" t="s">
        <v>204</v>
      </c>
      <c r="K258" t="s">
        <v>168</v>
      </c>
      <c r="M258" s="64"/>
      <c r="N258" s="92" t="s">
        <v>1024</v>
      </c>
      <c r="R258">
        <v>0</v>
      </c>
      <c r="S258">
        <v>0</v>
      </c>
      <c r="T258">
        <v>11</v>
      </c>
      <c r="U258">
        <v>11</v>
      </c>
      <c r="V258" s="13"/>
    </row>
    <row r="259" spans="2:22">
      <c r="B259" s="50"/>
      <c r="C259" s="64" t="s">
        <v>1021</v>
      </c>
      <c r="D259" s="71" t="s">
        <v>1027</v>
      </c>
      <c r="E259" s="109" t="s">
        <v>1028</v>
      </c>
      <c r="F259" s="100" t="s">
        <v>87</v>
      </c>
      <c r="G259" t="s">
        <v>149</v>
      </c>
      <c r="H259" t="s">
        <v>89</v>
      </c>
      <c r="I259" t="s">
        <v>90</v>
      </c>
      <c r="J259" t="s">
        <v>204</v>
      </c>
      <c r="K259" t="s">
        <v>168</v>
      </c>
      <c r="M259" s="64"/>
      <c r="N259" s="92" t="s">
        <v>1024</v>
      </c>
      <c r="R259">
        <v>0</v>
      </c>
      <c r="S259">
        <v>0</v>
      </c>
      <c r="T259">
        <v>11</v>
      </c>
      <c r="U259">
        <v>11</v>
      </c>
      <c r="V259" s="13"/>
    </row>
    <row r="260" spans="2:22">
      <c r="B260" s="50"/>
      <c r="C260" s="64" t="s">
        <v>1029</v>
      </c>
      <c r="D260" s="71" t="s">
        <v>1030</v>
      </c>
      <c r="E260" s="109" t="s">
        <v>1031</v>
      </c>
      <c r="F260" s="100" t="s">
        <v>87</v>
      </c>
      <c r="G260" t="s">
        <v>149</v>
      </c>
      <c r="H260" t="s">
        <v>89</v>
      </c>
      <c r="I260" t="s">
        <v>90</v>
      </c>
      <c r="J260" t="s">
        <v>204</v>
      </c>
      <c r="K260" t="s">
        <v>168</v>
      </c>
      <c r="M260" s="64"/>
      <c r="N260" s="69" t="s">
        <v>1032</v>
      </c>
      <c r="R260">
        <v>0</v>
      </c>
      <c r="S260">
        <v>0</v>
      </c>
      <c r="T260">
        <v>11</v>
      </c>
      <c r="U260">
        <v>11</v>
      </c>
      <c r="V260" s="13"/>
    </row>
    <row r="261" spans="2:22">
      <c r="B261" s="50"/>
      <c r="C261" s="64" t="s">
        <v>1029</v>
      </c>
      <c r="D261" s="71" t="s">
        <v>1033</v>
      </c>
      <c r="E261" s="109" t="s">
        <v>1034</v>
      </c>
      <c r="F261" s="100" t="s">
        <v>87</v>
      </c>
      <c r="G261" t="s">
        <v>149</v>
      </c>
      <c r="H261" t="s">
        <v>89</v>
      </c>
      <c r="I261" t="s">
        <v>90</v>
      </c>
      <c r="J261" t="s">
        <v>204</v>
      </c>
      <c r="K261" t="s">
        <v>168</v>
      </c>
      <c r="M261" s="64"/>
      <c r="N261" s="69" t="s">
        <v>1032</v>
      </c>
      <c r="R261">
        <v>0</v>
      </c>
      <c r="S261">
        <v>0</v>
      </c>
      <c r="T261">
        <v>11</v>
      </c>
      <c r="U261">
        <v>11</v>
      </c>
      <c r="V261" s="13"/>
    </row>
    <row r="262" spans="2:22">
      <c r="B262" s="50"/>
      <c r="C262" s="64" t="s">
        <v>1029</v>
      </c>
      <c r="D262" s="71" t="s">
        <v>1035</v>
      </c>
      <c r="E262" s="109" t="s">
        <v>1036</v>
      </c>
      <c r="F262" s="100" t="s">
        <v>87</v>
      </c>
      <c r="G262" t="s">
        <v>149</v>
      </c>
      <c r="H262" t="s">
        <v>89</v>
      </c>
      <c r="I262" t="s">
        <v>90</v>
      </c>
      <c r="J262" t="s">
        <v>204</v>
      </c>
      <c r="K262" t="s">
        <v>168</v>
      </c>
      <c r="M262" s="64"/>
      <c r="N262" s="69" t="s">
        <v>1032</v>
      </c>
      <c r="R262">
        <v>0</v>
      </c>
      <c r="S262">
        <v>0</v>
      </c>
      <c r="T262">
        <v>11</v>
      </c>
      <c r="U262">
        <v>11</v>
      </c>
      <c r="V262" s="13"/>
    </row>
    <row r="263" spans="2:22" ht="24.6" customHeight="1">
      <c r="B263" s="50"/>
      <c r="C263" s="64" t="s">
        <v>1037</v>
      </c>
      <c r="D263" s="71" t="s">
        <v>1038</v>
      </c>
      <c r="E263" s="75" t="s">
        <v>1039</v>
      </c>
      <c r="F263" s="100" t="s">
        <v>87</v>
      </c>
      <c r="G263" t="s">
        <v>259</v>
      </c>
      <c r="H263" t="s">
        <v>89</v>
      </c>
      <c r="I263" t="s">
        <v>90</v>
      </c>
      <c r="J263" t="s">
        <v>204</v>
      </c>
      <c r="K263" t="s">
        <v>168</v>
      </c>
      <c r="M263" s="64"/>
      <c r="N263" s="92" t="s">
        <v>1040</v>
      </c>
      <c r="U263">
        <v>250</v>
      </c>
      <c r="V263" s="13" t="s">
        <v>215</v>
      </c>
    </row>
    <row r="264" spans="2:22" ht="24" customHeight="1">
      <c r="B264" s="50"/>
      <c r="C264" s="64" t="s">
        <v>1041</v>
      </c>
      <c r="D264" s="64" t="s">
        <v>1042</v>
      </c>
      <c r="E264" s="64" t="s">
        <v>1043</v>
      </c>
      <c r="F264" s="100" t="s">
        <v>87</v>
      </c>
      <c r="G264" t="s">
        <v>149</v>
      </c>
      <c r="H264" t="s">
        <v>89</v>
      </c>
      <c r="I264" t="s">
        <v>90</v>
      </c>
      <c r="J264" t="s">
        <v>204</v>
      </c>
      <c r="K264" t="s">
        <v>632</v>
      </c>
      <c r="M264" s="64"/>
      <c r="N264" s="92" t="s">
        <v>1044</v>
      </c>
      <c r="R264">
        <v>0</v>
      </c>
      <c r="S264">
        <v>0</v>
      </c>
      <c r="T264">
        <v>11</v>
      </c>
      <c r="U264">
        <v>11</v>
      </c>
      <c r="V264" s="13"/>
    </row>
    <row r="265" spans="2:22" ht="21.95" customHeight="1">
      <c r="B265" s="50"/>
      <c r="C265" s="64" t="s">
        <v>1045</v>
      </c>
      <c r="D265" s="64" t="s">
        <v>1046</v>
      </c>
      <c r="E265" s="64" t="s">
        <v>1047</v>
      </c>
      <c r="F265" s="100" t="s">
        <v>87</v>
      </c>
      <c r="G265" t="s">
        <v>149</v>
      </c>
      <c r="H265" t="s">
        <v>89</v>
      </c>
      <c r="I265" t="s">
        <v>90</v>
      </c>
      <c r="J265" t="s">
        <v>204</v>
      </c>
      <c r="K265" t="s">
        <v>632</v>
      </c>
      <c r="M265" s="64"/>
      <c r="N265" s="92" t="s">
        <v>1048</v>
      </c>
      <c r="R265">
        <v>0</v>
      </c>
      <c r="S265">
        <v>0</v>
      </c>
      <c r="T265">
        <v>11</v>
      </c>
      <c r="U265">
        <v>11</v>
      </c>
      <c r="V265" s="13"/>
    </row>
    <row r="266" spans="2:22" ht="23.1" customHeight="1">
      <c r="B266" s="50"/>
      <c r="C266" s="64" t="s">
        <v>1049</v>
      </c>
      <c r="D266" s="71" t="s">
        <v>1050</v>
      </c>
      <c r="E266" s="64" t="s">
        <v>1051</v>
      </c>
      <c r="F266" s="100" t="s">
        <v>87</v>
      </c>
      <c r="G266" t="s">
        <v>149</v>
      </c>
      <c r="H266" t="s">
        <v>89</v>
      </c>
      <c r="I266" t="s">
        <v>90</v>
      </c>
      <c r="J266" t="s">
        <v>650</v>
      </c>
      <c r="K266" t="s">
        <v>651</v>
      </c>
      <c r="M266" s="64"/>
      <c r="N266" s="92" t="s">
        <v>1052</v>
      </c>
      <c r="R266">
        <v>0</v>
      </c>
      <c r="S266">
        <v>0</v>
      </c>
      <c r="T266">
        <v>11</v>
      </c>
      <c r="U266">
        <v>11</v>
      </c>
      <c r="V266" s="13"/>
    </row>
    <row r="267" spans="2:22" ht="29.1" customHeight="1">
      <c r="B267" s="50"/>
      <c r="C267" s="64" t="s">
        <v>1053</v>
      </c>
      <c r="D267" s="71" t="s">
        <v>1054</v>
      </c>
      <c r="E267" s="64" t="s">
        <v>1055</v>
      </c>
      <c r="F267" s="100" t="s">
        <v>87</v>
      </c>
      <c r="G267" t="s">
        <v>149</v>
      </c>
      <c r="H267" t="s">
        <v>89</v>
      </c>
      <c r="I267" t="s">
        <v>90</v>
      </c>
      <c r="J267" t="s">
        <v>204</v>
      </c>
      <c r="K267" s="13" t="s">
        <v>637</v>
      </c>
      <c r="M267" s="64"/>
      <c r="N267" s="92" t="s">
        <v>1056</v>
      </c>
      <c r="R267">
        <v>0</v>
      </c>
      <c r="S267">
        <v>0</v>
      </c>
      <c r="T267">
        <v>11</v>
      </c>
      <c r="U267">
        <v>11</v>
      </c>
      <c r="V267" s="13"/>
    </row>
    <row r="268" spans="2:22" ht="30" customHeight="1">
      <c r="B268" s="50"/>
      <c r="C268" s="64" t="s">
        <v>1057</v>
      </c>
      <c r="D268" s="64" t="s">
        <v>1058</v>
      </c>
      <c r="E268" s="64" t="s">
        <v>1059</v>
      </c>
      <c r="F268" s="100" t="s">
        <v>87</v>
      </c>
      <c r="G268" t="s">
        <v>149</v>
      </c>
      <c r="H268" t="s">
        <v>89</v>
      </c>
      <c r="I268" t="s">
        <v>90</v>
      </c>
      <c r="J268" t="s">
        <v>204</v>
      </c>
      <c r="K268" s="13" t="s">
        <v>637</v>
      </c>
      <c r="M268" s="64"/>
      <c r="N268" s="92" t="s">
        <v>1060</v>
      </c>
      <c r="R268">
        <v>0</v>
      </c>
      <c r="S268">
        <v>0</v>
      </c>
      <c r="T268">
        <v>11</v>
      </c>
      <c r="U268">
        <v>11</v>
      </c>
      <c r="V268" s="13"/>
    </row>
    <row r="269" spans="2:22" ht="27.6" customHeight="1">
      <c r="B269" s="50"/>
      <c r="C269" s="64" t="s">
        <v>1061</v>
      </c>
      <c r="D269" s="64" t="s">
        <v>1062</v>
      </c>
      <c r="E269" s="64" t="s">
        <v>991</v>
      </c>
      <c r="F269" s="100" t="s">
        <v>87</v>
      </c>
      <c r="G269" t="s">
        <v>149</v>
      </c>
      <c r="H269" t="s">
        <v>89</v>
      </c>
      <c r="I269" t="s">
        <v>90</v>
      </c>
      <c r="J269" t="s">
        <v>204</v>
      </c>
      <c r="K269" t="s">
        <v>168</v>
      </c>
      <c r="M269" s="64"/>
      <c r="N269" s="92" t="s">
        <v>1063</v>
      </c>
      <c r="R269">
        <v>0</v>
      </c>
      <c r="S269">
        <v>0</v>
      </c>
      <c r="T269">
        <v>11</v>
      </c>
      <c r="U269">
        <v>11</v>
      </c>
      <c r="V269" s="13"/>
    </row>
    <row r="270" spans="2:22">
      <c r="B270" s="50"/>
      <c r="C270" s="64" t="s">
        <v>1064</v>
      </c>
      <c r="D270" s="71" t="s">
        <v>1065</v>
      </c>
      <c r="E270" s="64" t="s">
        <v>1066</v>
      </c>
      <c r="F270" s="100" t="s">
        <v>87</v>
      </c>
      <c r="G270" t="s">
        <v>149</v>
      </c>
      <c r="H270" t="s">
        <v>89</v>
      </c>
      <c r="I270" t="s">
        <v>90</v>
      </c>
      <c r="J270" t="s">
        <v>204</v>
      </c>
      <c r="K270" t="s">
        <v>168</v>
      </c>
      <c r="M270" s="64"/>
      <c r="N270" s="92" t="s">
        <v>1067</v>
      </c>
      <c r="R270">
        <v>0</v>
      </c>
      <c r="S270">
        <v>0</v>
      </c>
      <c r="T270">
        <v>11</v>
      </c>
      <c r="U270">
        <v>11</v>
      </c>
      <c r="V270" s="13"/>
    </row>
    <row r="271" spans="2:22" ht="90">
      <c r="B271" s="50"/>
      <c r="C271" s="64" t="s">
        <v>1068</v>
      </c>
      <c r="D271" s="71" t="s">
        <v>1069</v>
      </c>
      <c r="E271" s="119" t="s">
        <v>1070</v>
      </c>
      <c r="F271" s="100" t="s">
        <v>87</v>
      </c>
      <c r="G271" t="s">
        <v>259</v>
      </c>
      <c r="H271" t="s">
        <v>89</v>
      </c>
      <c r="I271" t="s">
        <v>90</v>
      </c>
      <c r="J271" t="s">
        <v>204</v>
      </c>
      <c r="K271" t="s">
        <v>168</v>
      </c>
      <c r="M271" s="64"/>
      <c r="N271" s="120" t="s">
        <v>1000</v>
      </c>
      <c r="U271">
        <v>250</v>
      </c>
      <c r="V271" s="13" t="s">
        <v>215</v>
      </c>
    </row>
    <row r="272" spans="2:22" ht="15.75">
      <c r="B272" s="50"/>
      <c r="C272" s="64" t="s">
        <v>1071</v>
      </c>
      <c r="D272" s="79" t="s">
        <v>1072</v>
      </c>
      <c r="E272" s="64" t="s">
        <v>1073</v>
      </c>
      <c r="F272" s="100" t="s">
        <v>87</v>
      </c>
      <c r="G272" t="s">
        <v>102</v>
      </c>
      <c r="H272" t="s">
        <v>89</v>
      </c>
      <c r="I272" t="s">
        <v>90</v>
      </c>
      <c r="J272" t="s">
        <v>91</v>
      </c>
      <c r="K272" t="s">
        <v>132</v>
      </c>
      <c r="M272" s="64"/>
      <c r="N272" s="92" t="s">
        <v>1074</v>
      </c>
      <c r="S272">
        <v>0</v>
      </c>
      <c r="T272">
        <v>11</v>
      </c>
      <c r="U272">
        <v>11</v>
      </c>
      <c r="V272" s="13"/>
    </row>
    <row r="273" spans="2:22" ht="30">
      <c r="B273" s="50"/>
      <c r="C273" s="64" t="s">
        <v>1075</v>
      </c>
      <c r="D273" s="64" t="s">
        <v>1076</v>
      </c>
      <c r="E273" s="64" t="s">
        <v>1077</v>
      </c>
      <c r="F273" s="100" t="s">
        <v>87</v>
      </c>
      <c r="G273" t="s">
        <v>102</v>
      </c>
      <c r="H273" t="s">
        <v>89</v>
      </c>
      <c r="I273" t="s">
        <v>90</v>
      </c>
      <c r="J273" t="s">
        <v>91</v>
      </c>
      <c r="K273" t="s">
        <v>132</v>
      </c>
      <c r="M273" s="64"/>
      <c r="N273" s="92" t="s">
        <v>1078</v>
      </c>
      <c r="S273">
        <v>0</v>
      </c>
      <c r="T273">
        <v>11</v>
      </c>
      <c r="U273">
        <v>11</v>
      </c>
      <c r="V273" s="13"/>
    </row>
    <row r="274" spans="2:22" ht="30">
      <c r="B274" s="50"/>
      <c r="C274" s="64" t="s">
        <v>1079</v>
      </c>
      <c r="D274" s="64" t="s">
        <v>1080</v>
      </c>
      <c r="E274" s="64" t="s">
        <v>1081</v>
      </c>
      <c r="F274" s="100" t="s">
        <v>87</v>
      </c>
      <c r="G274" t="s">
        <v>102</v>
      </c>
      <c r="H274" t="s">
        <v>89</v>
      </c>
      <c r="I274" t="s">
        <v>90</v>
      </c>
      <c r="J274" t="s">
        <v>91</v>
      </c>
      <c r="K274" t="s">
        <v>132</v>
      </c>
      <c r="M274" s="64"/>
      <c r="N274" s="92" t="s">
        <v>1082</v>
      </c>
      <c r="S274">
        <v>0</v>
      </c>
      <c r="T274">
        <v>11</v>
      </c>
      <c r="U274">
        <v>11</v>
      </c>
      <c r="V274" s="13"/>
    </row>
    <row r="275" spans="2:22">
      <c r="B275" s="50"/>
      <c r="C275" s="64" t="s">
        <v>1083</v>
      </c>
      <c r="D275" s="64" t="s">
        <v>1084</v>
      </c>
      <c r="E275" s="64" t="s">
        <v>1085</v>
      </c>
      <c r="F275" s="100" t="s">
        <v>87</v>
      </c>
      <c r="G275" t="s">
        <v>102</v>
      </c>
      <c r="H275" t="s">
        <v>89</v>
      </c>
      <c r="I275" t="s">
        <v>90</v>
      </c>
      <c r="J275" t="s">
        <v>91</v>
      </c>
      <c r="K275" t="s">
        <v>132</v>
      </c>
      <c r="M275" s="64"/>
      <c r="N275" s="92" t="s">
        <v>1086</v>
      </c>
      <c r="S275">
        <v>0</v>
      </c>
      <c r="T275">
        <v>11</v>
      </c>
      <c r="U275">
        <v>11</v>
      </c>
      <c r="V275" s="13"/>
    </row>
    <row r="276" spans="2:22" ht="90">
      <c r="B276" s="50"/>
      <c r="C276" s="64" t="s">
        <v>1087</v>
      </c>
      <c r="D276" s="71" t="s">
        <v>1088</v>
      </c>
      <c r="E276" s="118" t="s">
        <v>1089</v>
      </c>
      <c r="F276" s="100" t="s">
        <v>87</v>
      </c>
      <c r="G276" t="s">
        <v>259</v>
      </c>
      <c r="H276" t="s">
        <v>89</v>
      </c>
      <c r="I276" t="s">
        <v>90</v>
      </c>
      <c r="J276" t="s">
        <v>91</v>
      </c>
      <c r="K276" t="s">
        <v>132</v>
      </c>
      <c r="M276" s="64"/>
      <c r="N276" s="120" t="s">
        <v>1000</v>
      </c>
      <c r="U276">
        <v>250</v>
      </c>
      <c r="V276" s="13" t="s">
        <v>215</v>
      </c>
    </row>
    <row r="277" spans="2:22" ht="30">
      <c r="B277" s="50"/>
      <c r="C277" s="64" t="s">
        <v>1090</v>
      </c>
      <c r="D277" s="71" t="s">
        <v>1091</v>
      </c>
      <c r="E277" s="64" t="s">
        <v>1092</v>
      </c>
      <c r="F277" s="100" t="s">
        <v>87</v>
      </c>
      <c r="G277" t="s">
        <v>102</v>
      </c>
      <c r="H277" t="s">
        <v>89</v>
      </c>
      <c r="I277" t="s">
        <v>90</v>
      </c>
      <c r="J277" t="s">
        <v>91</v>
      </c>
      <c r="K277" t="s">
        <v>132</v>
      </c>
      <c r="M277" s="64"/>
      <c r="N277" s="92" t="s">
        <v>1093</v>
      </c>
      <c r="S277">
        <v>2</v>
      </c>
      <c r="T277">
        <v>11</v>
      </c>
      <c r="U277">
        <v>11</v>
      </c>
      <c r="V277" s="13"/>
    </row>
    <row r="278" spans="2:22" ht="30">
      <c r="B278" s="50"/>
      <c r="C278" s="64" t="s">
        <v>1094</v>
      </c>
      <c r="D278" s="71" t="s">
        <v>1095</v>
      </c>
      <c r="E278" s="64" t="s">
        <v>1096</v>
      </c>
      <c r="F278" s="100" t="s">
        <v>87</v>
      </c>
      <c r="G278" t="s">
        <v>102</v>
      </c>
      <c r="H278" t="s">
        <v>89</v>
      </c>
      <c r="I278" t="s">
        <v>90</v>
      </c>
      <c r="J278" t="s">
        <v>91</v>
      </c>
      <c r="K278" t="s">
        <v>132</v>
      </c>
      <c r="M278" s="64"/>
      <c r="N278" s="92" t="s">
        <v>1097</v>
      </c>
      <c r="S278">
        <v>2</v>
      </c>
      <c r="T278">
        <v>11</v>
      </c>
      <c r="U278">
        <v>11</v>
      </c>
      <c r="V278" s="13"/>
    </row>
    <row r="279" spans="2:22" ht="30">
      <c r="B279" s="50"/>
      <c r="C279" s="64" t="s">
        <v>1098</v>
      </c>
      <c r="D279" s="71" t="s">
        <v>1099</v>
      </c>
      <c r="E279" s="64" t="s">
        <v>1100</v>
      </c>
      <c r="F279" s="100" t="s">
        <v>87</v>
      </c>
      <c r="G279" t="s">
        <v>102</v>
      </c>
      <c r="H279" t="s">
        <v>89</v>
      </c>
      <c r="I279" t="s">
        <v>90</v>
      </c>
      <c r="J279" t="s">
        <v>91</v>
      </c>
      <c r="K279" t="s">
        <v>132</v>
      </c>
      <c r="M279" s="64"/>
      <c r="N279" s="92" t="s">
        <v>1101</v>
      </c>
      <c r="S279">
        <v>2</v>
      </c>
      <c r="T279">
        <v>11</v>
      </c>
      <c r="U279">
        <v>11</v>
      </c>
      <c r="V279" s="13"/>
    </row>
    <row r="280" spans="2:22">
      <c r="B280" s="50"/>
      <c r="C280" s="64" t="s">
        <v>1102</v>
      </c>
      <c r="D280" s="71" t="s">
        <v>1103</v>
      </c>
      <c r="E280" s="64" t="s">
        <v>1104</v>
      </c>
      <c r="F280" s="100" t="s">
        <v>87</v>
      </c>
      <c r="G280" t="s">
        <v>102</v>
      </c>
      <c r="H280" t="s">
        <v>89</v>
      </c>
      <c r="I280" t="s">
        <v>90</v>
      </c>
      <c r="J280" t="s">
        <v>91</v>
      </c>
      <c r="K280" t="s">
        <v>132</v>
      </c>
      <c r="M280" s="64"/>
      <c r="N280" s="92" t="s">
        <v>1105</v>
      </c>
      <c r="S280">
        <v>2</v>
      </c>
      <c r="T280">
        <v>12</v>
      </c>
      <c r="U280">
        <v>12</v>
      </c>
      <c r="V280" s="13"/>
    </row>
    <row r="281" spans="2:22" ht="37.5" customHeight="1">
      <c r="B281" s="50"/>
      <c r="C281" s="64" t="s">
        <v>1106</v>
      </c>
      <c r="D281" s="71" t="s">
        <v>1107</v>
      </c>
      <c r="E281" s="66" t="s">
        <v>1108</v>
      </c>
      <c r="F281" s="100" t="s">
        <v>87</v>
      </c>
      <c r="G281" t="s">
        <v>259</v>
      </c>
      <c r="H281" t="s">
        <v>89</v>
      </c>
      <c r="I281" t="s">
        <v>90</v>
      </c>
      <c r="J281" t="s">
        <v>91</v>
      </c>
      <c r="K281" t="s">
        <v>132</v>
      </c>
      <c r="M281" s="64"/>
      <c r="N281" s="68" t="s">
        <v>1000</v>
      </c>
      <c r="U281">
        <v>250</v>
      </c>
      <c r="V281" s="13" t="s">
        <v>215</v>
      </c>
    </row>
    <row r="282" spans="2:22">
      <c r="B282" s="50"/>
      <c r="C282" s="64" t="s">
        <v>1109</v>
      </c>
      <c r="D282" s="72" t="s">
        <v>1110</v>
      </c>
      <c r="E282" s="64" t="s">
        <v>1111</v>
      </c>
      <c r="F282" s="100" t="s">
        <v>87</v>
      </c>
      <c r="G282" t="s">
        <v>88</v>
      </c>
      <c r="H282" t="s">
        <v>89</v>
      </c>
      <c r="I282" t="s">
        <v>90</v>
      </c>
      <c r="J282" t="s">
        <v>91</v>
      </c>
      <c r="K282" t="s">
        <v>132</v>
      </c>
      <c r="M282" s="64"/>
      <c r="N282" s="69" t="s">
        <v>1112</v>
      </c>
      <c r="V282" s="13"/>
    </row>
    <row r="283" spans="2:22" ht="47.1" customHeight="1">
      <c r="B283" s="50"/>
      <c r="C283" s="64" t="s">
        <v>1113</v>
      </c>
      <c r="D283" s="72" t="s">
        <v>1114</v>
      </c>
      <c r="E283" s="64" t="s">
        <v>1115</v>
      </c>
      <c r="F283" s="100" t="s">
        <v>87</v>
      </c>
      <c r="G283" t="s">
        <v>213</v>
      </c>
      <c r="H283" t="s">
        <v>89</v>
      </c>
      <c r="I283" t="s">
        <v>90</v>
      </c>
      <c r="J283" t="s">
        <v>91</v>
      </c>
      <c r="K283" t="s">
        <v>132</v>
      </c>
      <c r="M283" s="64"/>
      <c r="N283" s="92" t="s">
        <v>1116</v>
      </c>
      <c r="U283">
        <v>11</v>
      </c>
      <c r="V283" s="13" t="s">
        <v>215</v>
      </c>
    </row>
    <row r="284" spans="2:22">
      <c r="B284" s="50"/>
      <c r="C284" s="64" t="s">
        <v>1117</v>
      </c>
      <c r="D284" s="71" t="s">
        <v>1118</v>
      </c>
      <c r="E284" s="64" t="s">
        <v>1119</v>
      </c>
      <c r="F284" s="100" t="s">
        <v>87</v>
      </c>
      <c r="G284" t="s">
        <v>88</v>
      </c>
      <c r="H284" t="s">
        <v>89</v>
      </c>
      <c r="I284" t="s">
        <v>90</v>
      </c>
      <c r="J284" t="s">
        <v>91</v>
      </c>
      <c r="K284" t="s">
        <v>132</v>
      </c>
      <c r="M284" s="64"/>
      <c r="N284" s="92" t="s">
        <v>1120</v>
      </c>
      <c r="V284" s="13"/>
    </row>
    <row r="285" spans="2:22" ht="90">
      <c r="B285" s="50"/>
      <c r="C285" s="64" t="s">
        <v>1121</v>
      </c>
      <c r="D285" s="71" t="s">
        <v>1122</v>
      </c>
      <c r="E285" s="64" t="s">
        <v>1123</v>
      </c>
      <c r="F285" s="100" t="s">
        <v>87</v>
      </c>
      <c r="G285" t="s">
        <v>213</v>
      </c>
      <c r="H285" t="s">
        <v>89</v>
      </c>
      <c r="I285" t="s">
        <v>90</v>
      </c>
      <c r="J285" t="s">
        <v>91</v>
      </c>
      <c r="K285" t="s">
        <v>132</v>
      </c>
      <c r="M285" s="64"/>
      <c r="N285" s="92" t="s">
        <v>1124</v>
      </c>
      <c r="U285">
        <v>11</v>
      </c>
      <c r="V285" s="13" t="s">
        <v>215</v>
      </c>
    </row>
    <row r="286" spans="2:22">
      <c r="B286" s="50"/>
      <c r="C286" s="64" t="s">
        <v>1125</v>
      </c>
      <c r="D286" s="64" t="s">
        <v>1126</v>
      </c>
      <c r="E286" s="64" t="s">
        <v>1127</v>
      </c>
      <c r="F286" s="100" t="s">
        <v>87</v>
      </c>
      <c r="G286" t="s">
        <v>149</v>
      </c>
      <c r="H286" t="s">
        <v>89</v>
      </c>
      <c r="I286" t="s">
        <v>90</v>
      </c>
      <c r="J286" t="s">
        <v>204</v>
      </c>
      <c r="K286" t="s">
        <v>168</v>
      </c>
      <c r="M286" s="64"/>
      <c r="N286" s="92" t="s">
        <v>1128</v>
      </c>
      <c r="R286">
        <v>0</v>
      </c>
      <c r="S286">
        <v>0</v>
      </c>
      <c r="T286">
        <v>11</v>
      </c>
      <c r="U286">
        <v>11</v>
      </c>
      <c r="V286" s="13"/>
    </row>
    <row r="287" spans="2:22">
      <c r="B287" s="50"/>
      <c r="C287" s="64" t="s">
        <v>1129</v>
      </c>
      <c r="D287" s="64" t="s">
        <v>1130</v>
      </c>
      <c r="E287" s="64" t="s">
        <v>1131</v>
      </c>
      <c r="F287" s="100" t="s">
        <v>87</v>
      </c>
      <c r="G287" t="s">
        <v>149</v>
      </c>
      <c r="H287" t="s">
        <v>89</v>
      </c>
      <c r="I287" t="s">
        <v>90</v>
      </c>
      <c r="J287" t="s">
        <v>204</v>
      </c>
      <c r="K287" t="s">
        <v>168</v>
      </c>
      <c r="M287" s="64"/>
      <c r="N287" s="69" t="s">
        <v>1132</v>
      </c>
      <c r="R287">
        <v>0</v>
      </c>
      <c r="S287">
        <v>0</v>
      </c>
      <c r="T287">
        <v>11</v>
      </c>
      <c r="U287">
        <v>11</v>
      </c>
      <c r="V287" s="13"/>
    </row>
    <row r="288" spans="2:22">
      <c r="B288" s="50"/>
      <c r="C288" s="64" t="s">
        <v>1133</v>
      </c>
      <c r="D288" s="64" t="s">
        <v>1134</v>
      </c>
      <c r="E288" s="64" t="s">
        <v>1135</v>
      </c>
      <c r="F288" s="100" t="s">
        <v>87</v>
      </c>
      <c r="G288" t="s">
        <v>149</v>
      </c>
      <c r="H288" t="s">
        <v>89</v>
      </c>
      <c r="I288" t="s">
        <v>90</v>
      </c>
      <c r="J288" t="s">
        <v>204</v>
      </c>
      <c r="K288" t="s">
        <v>168</v>
      </c>
      <c r="M288" s="64"/>
      <c r="N288" s="92" t="s">
        <v>1136</v>
      </c>
      <c r="R288">
        <v>0</v>
      </c>
      <c r="S288">
        <v>0</v>
      </c>
      <c r="T288">
        <v>11</v>
      </c>
      <c r="U288">
        <v>11</v>
      </c>
      <c r="V288" s="13"/>
    </row>
    <row r="289" spans="2:22" ht="90">
      <c r="B289" s="50"/>
      <c r="C289" s="64" t="s">
        <v>1137</v>
      </c>
      <c r="D289" s="64" t="s">
        <v>1138</v>
      </c>
      <c r="E289" s="64" t="s">
        <v>1139</v>
      </c>
      <c r="F289" s="100" t="s">
        <v>87</v>
      </c>
      <c r="G289" t="s">
        <v>259</v>
      </c>
      <c r="H289" t="s">
        <v>89</v>
      </c>
      <c r="I289" t="s">
        <v>90</v>
      </c>
      <c r="J289" t="s">
        <v>204</v>
      </c>
      <c r="K289" t="s">
        <v>168</v>
      </c>
      <c r="M289" s="64"/>
      <c r="N289" s="92" t="s">
        <v>1140</v>
      </c>
      <c r="U289">
        <v>250</v>
      </c>
      <c r="V289" s="13" t="s">
        <v>215</v>
      </c>
    </row>
    <row r="290" spans="2:22">
      <c r="B290" s="50"/>
      <c r="C290" s="64" t="s">
        <v>1141</v>
      </c>
      <c r="D290" s="64" t="s">
        <v>1142</v>
      </c>
      <c r="E290" s="64" t="s">
        <v>743</v>
      </c>
      <c r="F290" s="100" t="s">
        <v>87</v>
      </c>
      <c r="G290" t="s">
        <v>149</v>
      </c>
      <c r="H290" t="s">
        <v>89</v>
      </c>
      <c r="I290" t="s">
        <v>90</v>
      </c>
      <c r="J290" t="s">
        <v>650</v>
      </c>
      <c r="K290" t="s">
        <v>744</v>
      </c>
      <c r="M290" s="64"/>
      <c r="N290" s="69" t="s">
        <v>1143</v>
      </c>
      <c r="R290">
        <v>0</v>
      </c>
      <c r="S290">
        <v>0</v>
      </c>
      <c r="T290">
        <v>11</v>
      </c>
      <c r="U290">
        <v>11</v>
      </c>
      <c r="V290" s="13"/>
    </row>
    <row r="291" spans="2:22">
      <c r="B291" s="50"/>
      <c r="C291" s="64" t="s">
        <v>1144</v>
      </c>
      <c r="D291" s="64" t="s">
        <v>1145</v>
      </c>
      <c r="E291" s="64" t="s">
        <v>1146</v>
      </c>
      <c r="F291" s="100" t="s">
        <v>87</v>
      </c>
      <c r="G291" t="s">
        <v>149</v>
      </c>
      <c r="H291" t="s">
        <v>89</v>
      </c>
      <c r="I291" t="s">
        <v>90</v>
      </c>
      <c r="J291" t="s">
        <v>650</v>
      </c>
      <c r="K291" t="s">
        <v>744</v>
      </c>
      <c r="M291" s="64"/>
      <c r="N291" s="92" t="s">
        <v>1147</v>
      </c>
      <c r="R291">
        <v>0</v>
      </c>
      <c r="S291">
        <v>0</v>
      </c>
      <c r="T291">
        <v>10</v>
      </c>
      <c r="U291">
        <v>10</v>
      </c>
      <c r="V291" s="13"/>
    </row>
    <row r="292" spans="2:22" ht="61.5" customHeight="1">
      <c r="B292" s="50"/>
      <c r="C292" s="64" t="s">
        <v>1148</v>
      </c>
      <c r="D292" s="71" t="s">
        <v>1149</v>
      </c>
      <c r="E292" s="66" t="s">
        <v>1150</v>
      </c>
      <c r="F292" s="100" t="s">
        <v>87</v>
      </c>
      <c r="G292" t="s">
        <v>259</v>
      </c>
      <c r="H292" t="s">
        <v>89</v>
      </c>
      <c r="I292" t="s">
        <v>90</v>
      </c>
      <c r="J292" t="s">
        <v>650</v>
      </c>
      <c r="K292" t="s">
        <v>744</v>
      </c>
      <c r="M292" s="64"/>
      <c r="N292" s="120" t="s">
        <v>1000</v>
      </c>
      <c r="U292">
        <v>250</v>
      </c>
      <c r="V292" s="13" t="s">
        <v>215</v>
      </c>
    </row>
    <row r="293" spans="2:22" ht="30">
      <c r="B293" s="50"/>
      <c r="C293" s="64" t="s">
        <v>1151</v>
      </c>
      <c r="D293" s="71" t="s">
        <v>1152</v>
      </c>
      <c r="E293" s="75" t="s">
        <v>1153</v>
      </c>
      <c r="F293" s="100" t="s">
        <v>87</v>
      </c>
      <c r="G293" t="s">
        <v>149</v>
      </c>
      <c r="H293" t="s">
        <v>89</v>
      </c>
      <c r="I293" t="s">
        <v>90</v>
      </c>
      <c r="J293" t="s">
        <v>650</v>
      </c>
      <c r="K293" t="s">
        <v>744</v>
      </c>
      <c r="M293" s="64"/>
      <c r="N293" s="92" t="s">
        <v>1154</v>
      </c>
      <c r="R293">
        <v>0</v>
      </c>
      <c r="S293">
        <v>0</v>
      </c>
      <c r="T293">
        <v>11</v>
      </c>
      <c r="U293">
        <v>11</v>
      </c>
      <c r="V293" s="13"/>
    </row>
    <row r="294" spans="2:22" ht="30">
      <c r="B294" s="50"/>
      <c r="C294" s="64" t="s">
        <v>1155</v>
      </c>
      <c r="D294" s="71" t="s">
        <v>1156</v>
      </c>
      <c r="E294" s="75" t="s">
        <v>1157</v>
      </c>
      <c r="F294" s="100" t="s">
        <v>87</v>
      </c>
      <c r="G294" t="s">
        <v>149</v>
      </c>
      <c r="H294" t="s">
        <v>89</v>
      </c>
      <c r="I294" t="s">
        <v>90</v>
      </c>
      <c r="J294" t="s">
        <v>650</v>
      </c>
      <c r="K294" t="s">
        <v>744</v>
      </c>
      <c r="M294" s="64"/>
      <c r="N294" s="92" t="s">
        <v>1158</v>
      </c>
      <c r="R294">
        <v>0</v>
      </c>
      <c r="S294">
        <v>0</v>
      </c>
      <c r="T294">
        <v>11</v>
      </c>
      <c r="U294">
        <v>11</v>
      </c>
      <c r="V294" s="13"/>
    </row>
    <row r="295" spans="2:22" ht="30">
      <c r="B295" s="50"/>
      <c r="C295" s="64" t="s">
        <v>1159</v>
      </c>
      <c r="D295" s="71" t="s">
        <v>1160</v>
      </c>
      <c r="E295" s="75" t="s">
        <v>1161</v>
      </c>
      <c r="F295" s="100" t="s">
        <v>87</v>
      </c>
      <c r="G295" t="s">
        <v>149</v>
      </c>
      <c r="H295" t="s">
        <v>89</v>
      </c>
      <c r="I295" t="s">
        <v>90</v>
      </c>
      <c r="J295" t="s">
        <v>650</v>
      </c>
      <c r="K295" t="s">
        <v>744</v>
      </c>
      <c r="M295" s="64"/>
      <c r="N295" s="92" t="s">
        <v>1162</v>
      </c>
      <c r="R295">
        <v>0</v>
      </c>
      <c r="S295">
        <v>0</v>
      </c>
      <c r="T295">
        <v>11</v>
      </c>
      <c r="U295">
        <v>11</v>
      </c>
      <c r="V295" s="13"/>
    </row>
    <row r="296" spans="2:22" ht="30">
      <c r="B296" s="50"/>
      <c r="C296" s="64" t="s">
        <v>1163</v>
      </c>
      <c r="D296" s="71" t="s">
        <v>1164</v>
      </c>
      <c r="E296" s="75" t="s">
        <v>1165</v>
      </c>
      <c r="F296" s="100" t="s">
        <v>87</v>
      </c>
      <c r="G296" t="s">
        <v>149</v>
      </c>
      <c r="H296" t="s">
        <v>89</v>
      </c>
      <c r="I296" t="s">
        <v>90</v>
      </c>
      <c r="J296" t="s">
        <v>650</v>
      </c>
      <c r="K296" t="s">
        <v>744</v>
      </c>
      <c r="M296" s="64"/>
      <c r="N296" s="92" t="s">
        <v>1166</v>
      </c>
      <c r="R296">
        <v>0</v>
      </c>
      <c r="S296">
        <v>0</v>
      </c>
      <c r="T296">
        <v>11</v>
      </c>
      <c r="U296">
        <v>11</v>
      </c>
      <c r="V296" s="13"/>
    </row>
    <row r="297" spans="2:22" ht="30.95" customHeight="1">
      <c r="B297" s="50"/>
      <c r="C297" s="64" t="s">
        <v>1167</v>
      </c>
      <c r="D297" s="64" t="s">
        <v>1168</v>
      </c>
      <c r="E297" s="75" t="s">
        <v>1169</v>
      </c>
      <c r="F297" s="100" t="s">
        <v>87</v>
      </c>
      <c r="G297" t="s">
        <v>149</v>
      </c>
      <c r="H297" t="s">
        <v>89</v>
      </c>
      <c r="I297" t="s">
        <v>90</v>
      </c>
      <c r="J297" t="s">
        <v>650</v>
      </c>
      <c r="K297" t="s">
        <v>744</v>
      </c>
      <c r="M297" s="64"/>
      <c r="N297" s="92" t="s">
        <v>1170</v>
      </c>
      <c r="R297">
        <v>0</v>
      </c>
      <c r="S297">
        <v>0</v>
      </c>
      <c r="T297">
        <v>11</v>
      </c>
      <c r="U297">
        <v>11</v>
      </c>
      <c r="V297" s="13"/>
    </row>
    <row r="298" spans="2:22" ht="26.1" customHeight="1">
      <c r="B298" s="50"/>
      <c r="C298" s="64" t="s">
        <v>1171</v>
      </c>
      <c r="D298" s="64" t="s">
        <v>1172</v>
      </c>
      <c r="E298" s="75" t="s">
        <v>1173</v>
      </c>
      <c r="F298" s="100" t="s">
        <v>87</v>
      </c>
      <c r="G298" t="s">
        <v>149</v>
      </c>
      <c r="H298" t="s">
        <v>89</v>
      </c>
      <c r="I298" t="s">
        <v>90</v>
      </c>
      <c r="J298" t="s">
        <v>650</v>
      </c>
      <c r="K298" t="s">
        <v>744</v>
      </c>
      <c r="M298" s="64"/>
      <c r="N298" s="92" t="s">
        <v>1174</v>
      </c>
      <c r="R298">
        <v>0</v>
      </c>
      <c r="S298">
        <v>0</v>
      </c>
      <c r="T298">
        <v>11</v>
      </c>
      <c r="U298">
        <v>11</v>
      </c>
      <c r="V298" s="13"/>
    </row>
    <row r="299" spans="2:22" ht="27.6" customHeight="1">
      <c r="B299" s="50"/>
      <c r="C299" s="64" t="s">
        <v>1175</v>
      </c>
      <c r="D299" s="71" t="s">
        <v>1176</v>
      </c>
      <c r="E299" s="118" t="s">
        <v>1177</v>
      </c>
      <c r="F299" s="100" t="s">
        <v>87</v>
      </c>
      <c r="G299" t="s">
        <v>259</v>
      </c>
      <c r="H299" t="s">
        <v>89</v>
      </c>
      <c r="I299" t="s">
        <v>90</v>
      </c>
      <c r="J299" t="s">
        <v>650</v>
      </c>
      <c r="K299" t="s">
        <v>744</v>
      </c>
      <c r="M299" s="64"/>
      <c r="N299" s="120" t="s">
        <v>1000</v>
      </c>
      <c r="U299">
        <v>250</v>
      </c>
      <c r="V299" s="13" t="s">
        <v>215</v>
      </c>
    </row>
    <row r="300" spans="2:22">
      <c r="B300" s="50"/>
      <c r="C300" s="64" t="s">
        <v>1178</v>
      </c>
      <c r="D300" s="64" t="s">
        <v>1179</v>
      </c>
      <c r="E300" s="28" t="s">
        <v>1180</v>
      </c>
      <c r="F300" s="100" t="s">
        <v>87</v>
      </c>
      <c r="G300" t="s">
        <v>88</v>
      </c>
      <c r="H300" t="s">
        <v>89</v>
      </c>
      <c r="I300" t="s">
        <v>90</v>
      </c>
      <c r="J300" t="s">
        <v>650</v>
      </c>
      <c r="K300" t="s">
        <v>1181</v>
      </c>
      <c r="M300" s="64"/>
      <c r="N300" s="96" t="s">
        <v>1182</v>
      </c>
      <c r="V300" s="13"/>
    </row>
    <row r="301" spans="2:22">
      <c r="B301" s="50"/>
      <c r="C301" s="64" t="s">
        <v>1183</v>
      </c>
      <c r="D301" s="64" t="s">
        <v>1184</v>
      </c>
      <c r="E301" s="28" t="s">
        <v>1185</v>
      </c>
      <c r="F301" s="100" t="s">
        <v>87</v>
      </c>
      <c r="G301" t="s">
        <v>88</v>
      </c>
      <c r="H301" t="s">
        <v>89</v>
      </c>
      <c r="I301" t="s">
        <v>90</v>
      </c>
      <c r="J301" t="s">
        <v>650</v>
      </c>
      <c r="K301" t="s">
        <v>1181</v>
      </c>
      <c r="M301" s="64"/>
      <c r="N301" s="92" t="s">
        <v>1186</v>
      </c>
      <c r="V301" s="13"/>
    </row>
    <row r="302" spans="2:22">
      <c r="B302" s="50"/>
      <c r="C302" s="64" t="s">
        <v>1187</v>
      </c>
      <c r="D302" s="64" t="s">
        <v>1188</v>
      </c>
      <c r="E302" s="28" t="s">
        <v>1189</v>
      </c>
      <c r="F302" s="100" t="s">
        <v>87</v>
      </c>
      <c r="G302" t="s">
        <v>88</v>
      </c>
      <c r="H302" t="s">
        <v>89</v>
      </c>
      <c r="I302" t="s">
        <v>90</v>
      </c>
      <c r="J302" t="s">
        <v>650</v>
      </c>
      <c r="K302" t="s">
        <v>1181</v>
      </c>
      <c r="M302" s="64"/>
      <c r="N302" s="92" t="s">
        <v>1190</v>
      </c>
      <c r="V302" s="13"/>
    </row>
    <row r="303" spans="2:22">
      <c r="B303" s="50"/>
      <c r="C303" s="64" t="s">
        <v>1191</v>
      </c>
      <c r="D303" s="64" t="s">
        <v>1192</v>
      </c>
      <c r="E303" s="28" t="s">
        <v>1193</v>
      </c>
      <c r="F303" s="100" t="s">
        <v>87</v>
      </c>
      <c r="G303" t="s">
        <v>88</v>
      </c>
      <c r="H303" t="s">
        <v>89</v>
      </c>
      <c r="I303" t="s">
        <v>90</v>
      </c>
      <c r="J303" t="s">
        <v>650</v>
      </c>
      <c r="K303" t="s">
        <v>1181</v>
      </c>
      <c r="M303" s="64"/>
      <c r="N303" s="92" t="s">
        <v>1194</v>
      </c>
      <c r="V303" s="13"/>
    </row>
    <row r="304" spans="2:22">
      <c r="B304" s="50"/>
      <c r="C304" s="64" t="s">
        <v>1195</v>
      </c>
      <c r="D304" s="64" t="s">
        <v>1196</v>
      </c>
      <c r="E304" s="28" t="s">
        <v>1197</v>
      </c>
      <c r="F304" s="100" t="s">
        <v>87</v>
      </c>
      <c r="G304" t="s">
        <v>88</v>
      </c>
      <c r="H304" t="s">
        <v>89</v>
      </c>
      <c r="I304" t="s">
        <v>90</v>
      </c>
      <c r="J304" t="s">
        <v>650</v>
      </c>
      <c r="K304" t="s">
        <v>1181</v>
      </c>
      <c r="M304" s="64"/>
      <c r="N304" s="92" t="s">
        <v>1198</v>
      </c>
      <c r="V304" s="13"/>
    </row>
    <row r="305" spans="2:22" ht="33.950000000000003" customHeight="1">
      <c r="B305" s="50"/>
      <c r="C305" s="64" t="s">
        <v>1199</v>
      </c>
      <c r="D305" s="64" t="s">
        <v>1200</v>
      </c>
      <c r="E305" s="28" t="s">
        <v>1201</v>
      </c>
      <c r="F305" s="100" t="s">
        <v>87</v>
      </c>
      <c r="G305" t="s">
        <v>88</v>
      </c>
      <c r="H305" t="s">
        <v>89</v>
      </c>
      <c r="I305" t="s">
        <v>90</v>
      </c>
      <c r="J305" t="s">
        <v>650</v>
      </c>
      <c r="K305" t="s">
        <v>1181</v>
      </c>
      <c r="M305" s="64"/>
      <c r="N305" s="92" t="s">
        <v>1202</v>
      </c>
      <c r="V305" s="13"/>
    </row>
    <row r="306" spans="2:22">
      <c r="B306" s="50"/>
      <c r="C306" s="64" t="s">
        <v>1203</v>
      </c>
      <c r="D306" s="64" t="s">
        <v>1204</v>
      </c>
      <c r="E306" s="28" t="s">
        <v>1205</v>
      </c>
      <c r="F306" s="100" t="s">
        <v>87</v>
      </c>
      <c r="G306" t="s">
        <v>88</v>
      </c>
      <c r="H306" t="s">
        <v>89</v>
      </c>
      <c r="I306" t="s">
        <v>90</v>
      </c>
      <c r="J306" t="s">
        <v>650</v>
      </c>
      <c r="K306" t="s">
        <v>1181</v>
      </c>
      <c r="M306" s="64"/>
      <c r="N306" s="92" t="s">
        <v>1206</v>
      </c>
      <c r="V306" s="13"/>
    </row>
    <row r="307" spans="2:22">
      <c r="B307" s="50"/>
      <c r="C307" s="64" t="s">
        <v>1207</v>
      </c>
      <c r="D307" s="64" t="s">
        <v>1208</v>
      </c>
      <c r="E307" s="28" t="s">
        <v>1209</v>
      </c>
      <c r="F307" s="100" t="s">
        <v>87</v>
      </c>
      <c r="G307" t="s">
        <v>88</v>
      </c>
      <c r="H307" t="s">
        <v>89</v>
      </c>
      <c r="I307" t="s">
        <v>90</v>
      </c>
      <c r="J307" t="s">
        <v>650</v>
      </c>
      <c r="K307" t="s">
        <v>1181</v>
      </c>
      <c r="M307" s="64"/>
      <c r="N307" s="92" t="s">
        <v>1210</v>
      </c>
      <c r="V307" s="13"/>
    </row>
    <row r="308" spans="2:22">
      <c r="B308" s="50"/>
      <c r="C308" s="64" t="s">
        <v>1211</v>
      </c>
      <c r="D308" s="50" t="s">
        <v>1212</v>
      </c>
      <c r="E308" s="28" t="s">
        <v>1213</v>
      </c>
      <c r="F308" s="100" t="s">
        <v>87</v>
      </c>
      <c r="G308" t="s">
        <v>102</v>
      </c>
      <c r="H308" t="s">
        <v>89</v>
      </c>
      <c r="I308" t="s">
        <v>90</v>
      </c>
      <c r="J308" t="s">
        <v>650</v>
      </c>
      <c r="K308" t="s">
        <v>1181</v>
      </c>
      <c r="M308" s="64"/>
      <c r="N308" s="92" t="s">
        <v>1214</v>
      </c>
      <c r="S308">
        <v>0</v>
      </c>
      <c r="T308">
        <v>4</v>
      </c>
      <c r="U308">
        <v>4</v>
      </c>
      <c r="V308" s="13"/>
    </row>
    <row r="309" spans="2:22" ht="31.5" customHeight="1">
      <c r="B309" s="50"/>
      <c r="C309" s="64" t="s">
        <v>1215</v>
      </c>
      <c r="D309" s="68" t="s">
        <v>1216</v>
      </c>
      <c r="E309" s="28" t="s">
        <v>1217</v>
      </c>
      <c r="F309" s="100" t="s">
        <v>87</v>
      </c>
      <c r="G309" t="s">
        <v>102</v>
      </c>
      <c r="H309" t="s">
        <v>89</v>
      </c>
      <c r="I309" t="s">
        <v>90</v>
      </c>
      <c r="J309" t="s">
        <v>650</v>
      </c>
      <c r="K309" t="s">
        <v>1181</v>
      </c>
      <c r="M309" s="64"/>
      <c r="N309" s="92" t="s">
        <v>1218</v>
      </c>
      <c r="S309">
        <v>0</v>
      </c>
      <c r="T309">
        <v>4</v>
      </c>
      <c r="U309">
        <v>4</v>
      </c>
      <c r="V309" s="13"/>
    </row>
    <row r="310" spans="2:22" ht="27.6" customHeight="1">
      <c r="B310" s="50"/>
      <c r="C310" s="64" t="s">
        <v>1219</v>
      </c>
      <c r="D310" s="64" t="s">
        <v>1220</v>
      </c>
      <c r="E310" t="s">
        <v>1221</v>
      </c>
      <c r="F310" s="100" t="s">
        <v>87</v>
      </c>
      <c r="G310" t="s">
        <v>88</v>
      </c>
      <c r="H310" t="s">
        <v>89</v>
      </c>
      <c r="I310" t="s">
        <v>90</v>
      </c>
      <c r="J310" t="s">
        <v>650</v>
      </c>
      <c r="K310" t="s">
        <v>1181</v>
      </c>
      <c r="M310" s="64"/>
      <c r="N310" s="92" t="s">
        <v>1222</v>
      </c>
      <c r="V310" s="13"/>
    </row>
    <row r="311" spans="2:22" ht="31.5" customHeight="1">
      <c r="B311" s="50"/>
      <c r="C311" s="64" t="s">
        <v>1223</v>
      </c>
      <c r="D311" s="64" t="s">
        <v>1224</v>
      </c>
      <c r="E311" t="s">
        <v>1225</v>
      </c>
      <c r="F311" s="100" t="s">
        <v>87</v>
      </c>
      <c r="G311" t="s">
        <v>88</v>
      </c>
      <c r="H311" t="s">
        <v>89</v>
      </c>
      <c r="I311" t="s">
        <v>90</v>
      </c>
      <c r="J311" t="s">
        <v>650</v>
      </c>
      <c r="K311" t="s">
        <v>1181</v>
      </c>
      <c r="M311" s="64"/>
      <c r="N311" s="92" t="s">
        <v>1226</v>
      </c>
      <c r="V311" s="13"/>
    </row>
    <row r="312" spans="2:22" ht="38.450000000000003" customHeight="1">
      <c r="B312" s="50"/>
      <c r="C312" s="64" t="s">
        <v>1227</v>
      </c>
      <c r="D312" s="64" t="s">
        <v>1228</v>
      </c>
      <c r="E312" t="s">
        <v>1229</v>
      </c>
      <c r="F312" s="100" t="s">
        <v>87</v>
      </c>
      <c r="G312" t="s">
        <v>88</v>
      </c>
      <c r="H312" t="s">
        <v>89</v>
      </c>
      <c r="I312" t="s">
        <v>90</v>
      </c>
      <c r="J312" t="s">
        <v>650</v>
      </c>
      <c r="K312" t="s">
        <v>1181</v>
      </c>
      <c r="M312" s="64"/>
      <c r="N312" s="92" t="s">
        <v>1230</v>
      </c>
      <c r="V312" s="13"/>
    </row>
    <row r="313" spans="2:22" ht="37.5" customHeight="1">
      <c r="B313" s="50"/>
      <c r="C313" s="64" t="s">
        <v>1231</v>
      </c>
      <c r="D313" s="64" t="s">
        <v>1232</v>
      </c>
      <c r="E313" t="s">
        <v>1233</v>
      </c>
      <c r="F313" s="100" t="s">
        <v>87</v>
      </c>
      <c r="G313" t="s">
        <v>88</v>
      </c>
      <c r="H313" t="s">
        <v>89</v>
      </c>
      <c r="I313" t="s">
        <v>90</v>
      </c>
      <c r="J313" t="s">
        <v>650</v>
      </c>
      <c r="K313" t="s">
        <v>1181</v>
      </c>
      <c r="M313" s="64"/>
      <c r="N313" s="92" t="s">
        <v>1234</v>
      </c>
      <c r="V313" s="13"/>
    </row>
    <row r="314" spans="2:22" ht="32.1" customHeight="1">
      <c r="B314" s="50"/>
      <c r="C314" s="64" t="s">
        <v>1235</v>
      </c>
      <c r="D314" s="64" t="s">
        <v>1236</v>
      </c>
      <c r="E314" t="s">
        <v>1237</v>
      </c>
      <c r="F314" s="100" t="s">
        <v>87</v>
      </c>
      <c r="G314" t="s">
        <v>88</v>
      </c>
      <c r="H314" t="s">
        <v>89</v>
      </c>
      <c r="I314" t="s">
        <v>90</v>
      </c>
      <c r="J314" t="s">
        <v>650</v>
      </c>
      <c r="K314" t="s">
        <v>1181</v>
      </c>
      <c r="M314" s="64"/>
      <c r="N314" s="92" t="s">
        <v>1238</v>
      </c>
      <c r="V314" s="13"/>
    </row>
    <row r="315" spans="2:22" ht="30">
      <c r="B315" s="50"/>
      <c r="C315" s="64" t="s">
        <v>1239</v>
      </c>
      <c r="D315" s="64" t="s">
        <v>1240</v>
      </c>
      <c r="E315" t="s">
        <v>1241</v>
      </c>
      <c r="F315" s="100" t="s">
        <v>87</v>
      </c>
      <c r="G315" t="s">
        <v>88</v>
      </c>
      <c r="H315" t="s">
        <v>89</v>
      </c>
      <c r="I315" t="s">
        <v>90</v>
      </c>
      <c r="J315" t="s">
        <v>650</v>
      </c>
      <c r="K315" t="s">
        <v>1181</v>
      </c>
      <c r="M315" s="64"/>
      <c r="N315" s="92" t="s">
        <v>1242</v>
      </c>
      <c r="V315" s="13"/>
    </row>
    <row r="316" spans="2:22">
      <c r="B316" s="50"/>
      <c r="C316" s="64" t="s">
        <v>1243</v>
      </c>
      <c r="D316" s="64" t="s">
        <v>1244</v>
      </c>
      <c r="E316" t="s">
        <v>1245</v>
      </c>
      <c r="F316" s="100" t="s">
        <v>87</v>
      </c>
      <c r="G316" t="s">
        <v>88</v>
      </c>
      <c r="H316" t="s">
        <v>89</v>
      </c>
      <c r="I316" t="s">
        <v>90</v>
      </c>
      <c r="J316" t="s">
        <v>650</v>
      </c>
      <c r="K316" t="s">
        <v>1181</v>
      </c>
      <c r="M316" s="64"/>
      <c r="N316" s="92" t="s">
        <v>1246</v>
      </c>
      <c r="V316" s="13"/>
    </row>
    <row r="317" spans="2:22" ht="32.450000000000003" customHeight="1">
      <c r="B317" s="50"/>
      <c r="C317" s="64" t="s">
        <v>1247</v>
      </c>
      <c r="D317" s="64" t="s">
        <v>1248</v>
      </c>
      <c r="E317" t="s">
        <v>1249</v>
      </c>
      <c r="F317" s="100" t="s">
        <v>87</v>
      </c>
      <c r="G317" t="s">
        <v>88</v>
      </c>
      <c r="H317" t="s">
        <v>89</v>
      </c>
      <c r="I317" t="s">
        <v>90</v>
      </c>
      <c r="J317" t="s">
        <v>650</v>
      </c>
      <c r="K317" t="s">
        <v>1181</v>
      </c>
      <c r="M317" s="64"/>
      <c r="N317" s="92" t="s">
        <v>1250</v>
      </c>
      <c r="V317" s="13"/>
    </row>
    <row r="318" spans="2:22">
      <c r="B318" s="50"/>
      <c r="C318" s="64" t="s">
        <v>1251</v>
      </c>
      <c r="D318" s="64" t="s">
        <v>1252</v>
      </c>
      <c r="E318" t="s">
        <v>1253</v>
      </c>
      <c r="F318" s="100" t="s">
        <v>87</v>
      </c>
      <c r="G318" t="s">
        <v>88</v>
      </c>
      <c r="H318" t="s">
        <v>89</v>
      </c>
      <c r="I318" t="s">
        <v>90</v>
      </c>
      <c r="J318" t="s">
        <v>650</v>
      </c>
      <c r="K318" t="s">
        <v>1181</v>
      </c>
      <c r="M318" s="64"/>
      <c r="N318" s="92" t="s">
        <v>1254</v>
      </c>
      <c r="V318" s="13"/>
    </row>
    <row r="319" spans="2:22" ht="30" customHeight="1">
      <c r="B319" s="50"/>
      <c r="C319" s="64" t="s">
        <v>1255</v>
      </c>
      <c r="D319" s="64" t="s">
        <v>1256</v>
      </c>
      <c r="E319" t="s">
        <v>1257</v>
      </c>
      <c r="F319" s="100" t="s">
        <v>87</v>
      </c>
      <c r="G319" t="s">
        <v>88</v>
      </c>
      <c r="H319" t="s">
        <v>89</v>
      </c>
      <c r="I319" t="s">
        <v>90</v>
      </c>
      <c r="J319" t="s">
        <v>650</v>
      </c>
      <c r="K319" t="s">
        <v>1181</v>
      </c>
      <c r="M319" s="64"/>
      <c r="N319" s="92" t="s">
        <v>1258</v>
      </c>
      <c r="V319" s="13"/>
    </row>
    <row r="320" spans="2:22" ht="30.6" customHeight="1">
      <c r="B320" s="50"/>
      <c r="C320" s="67" t="s">
        <v>1259</v>
      </c>
      <c r="D320" s="64" t="s">
        <v>1260</v>
      </c>
      <c r="E320" t="s">
        <v>1261</v>
      </c>
      <c r="F320" s="100" t="s">
        <v>87</v>
      </c>
      <c r="G320" t="s">
        <v>88</v>
      </c>
      <c r="H320" t="s">
        <v>89</v>
      </c>
      <c r="I320" t="s">
        <v>90</v>
      </c>
      <c r="J320" t="s">
        <v>91</v>
      </c>
      <c r="K320" t="s">
        <v>1262</v>
      </c>
      <c r="M320" s="67"/>
      <c r="N320" s="92" t="s">
        <v>1263</v>
      </c>
      <c r="V320" s="13"/>
    </row>
    <row r="321" spans="2:22">
      <c r="B321" s="50"/>
      <c r="C321" s="67" t="s">
        <v>1264</v>
      </c>
      <c r="D321" s="64" t="s">
        <v>1265</v>
      </c>
      <c r="E321" t="s">
        <v>1266</v>
      </c>
      <c r="F321" s="100" t="s">
        <v>87</v>
      </c>
      <c r="G321" t="s">
        <v>88</v>
      </c>
      <c r="H321" t="s">
        <v>89</v>
      </c>
      <c r="I321" t="s">
        <v>90</v>
      </c>
      <c r="J321" t="s">
        <v>204</v>
      </c>
      <c r="K321" t="s">
        <v>168</v>
      </c>
      <c r="M321" s="67"/>
      <c r="N321" s="92" t="s">
        <v>1267</v>
      </c>
      <c r="V321" s="13"/>
    </row>
    <row r="322" spans="2:22" ht="32.450000000000003" customHeight="1">
      <c r="B322" s="50"/>
      <c r="C322" s="67" t="s">
        <v>1268</v>
      </c>
      <c r="D322" s="64" t="s">
        <v>1269</v>
      </c>
      <c r="E322" t="s">
        <v>1270</v>
      </c>
      <c r="F322" s="100" t="s">
        <v>87</v>
      </c>
      <c r="G322" t="s">
        <v>88</v>
      </c>
      <c r="H322" t="s">
        <v>89</v>
      </c>
      <c r="I322" t="s">
        <v>90</v>
      </c>
      <c r="J322" t="s">
        <v>204</v>
      </c>
      <c r="K322" t="s">
        <v>168</v>
      </c>
      <c r="M322" s="67"/>
      <c r="N322" s="92" t="s">
        <v>1271</v>
      </c>
      <c r="V322" s="13"/>
    </row>
    <row r="323" spans="2:22" ht="32.1" customHeight="1">
      <c r="B323" s="50"/>
      <c r="C323" s="67" t="s">
        <v>1272</v>
      </c>
      <c r="D323" s="64" t="s">
        <v>1273</v>
      </c>
      <c r="E323" t="s">
        <v>1274</v>
      </c>
      <c r="F323" s="100" t="s">
        <v>87</v>
      </c>
      <c r="G323" t="s">
        <v>88</v>
      </c>
      <c r="H323" t="s">
        <v>89</v>
      </c>
      <c r="I323" t="s">
        <v>90</v>
      </c>
      <c r="J323" t="s">
        <v>650</v>
      </c>
      <c r="K323" t="s">
        <v>1181</v>
      </c>
      <c r="M323" s="67"/>
      <c r="N323" s="92" t="s">
        <v>1275</v>
      </c>
      <c r="V323" s="13"/>
    </row>
    <row r="324" spans="2:22" ht="27.6" customHeight="1">
      <c r="B324" s="50"/>
      <c r="C324" s="67" t="s">
        <v>1276</v>
      </c>
      <c r="D324" s="64" t="s">
        <v>1277</v>
      </c>
      <c r="E324" t="s">
        <v>1278</v>
      </c>
      <c r="F324" s="100" t="s">
        <v>87</v>
      </c>
      <c r="G324" t="s">
        <v>88</v>
      </c>
      <c r="H324" t="s">
        <v>89</v>
      </c>
      <c r="I324" t="s">
        <v>90</v>
      </c>
      <c r="J324" t="s">
        <v>650</v>
      </c>
      <c r="K324" t="s">
        <v>1181</v>
      </c>
      <c r="M324" s="67"/>
      <c r="N324" s="92" t="s">
        <v>1279</v>
      </c>
      <c r="V324" s="13"/>
    </row>
    <row r="325" spans="2:22">
      <c r="B325" s="50"/>
      <c r="C325" s="67" t="s">
        <v>1280</v>
      </c>
      <c r="D325" s="64" t="s">
        <v>1281</v>
      </c>
      <c r="E325" t="s">
        <v>1282</v>
      </c>
      <c r="F325" s="100" t="s">
        <v>87</v>
      </c>
      <c r="G325" t="s">
        <v>88</v>
      </c>
      <c r="H325" t="s">
        <v>89</v>
      </c>
      <c r="I325" t="s">
        <v>90</v>
      </c>
      <c r="J325" t="s">
        <v>91</v>
      </c>
      <c r="K325" t="s">
        <v>1283</v>
      </c>
      <c r="M325" s="67"/>
      <c r="N325" s="92" t="s">
        <v>1284</v>
      </c>
      <c r="V325" s="13"/>
    </row>
    <row r="326" spans="2:22">
      <c r="B326" s="50"/>
      <c r="C326" s="67" t="s">
        <v>1285</v>
      </c>
      <c r="D326" s="64" t="s">
        <v>1286</v>
      </c>
      <c r="E326" t="s">
        <v>1287</v>
      </c>
      <c r="F326" s="100" t="s">
        <v>87</v>
      </c>
      <c r="G326" t="s">
        <v>88</v>
      </c>
      <c r="H326" t="s">
        <v>89</v>
      </c>
      <c r="I326" t="s">
        <v>90</v>
      </c>
      <c r="J326" t="s">
        <v>91</v>
      </c>
      <c r="K326" t="s">
        <v>1283</v>
      </c>
      <c r="M326" s="67"/>
      <c r="N326" s="92" t="s">
        <v>1288</v>
      </c>
      <c r="V326" s="13"/>
    </row>
    <row r="327" spans="2:22" ht="31.5" customHeight="1">
      <c r="B327" s="50"/>
      <c r="C327" s="67" t="s">
        <v>1289</v>
      </c>
      <c r="D327" s="64" t="s">
        <v>1290</v>
      </c>
      <c r="E327" t="s">
        <v>1291</v>
      </c>
      <c r="F327" s="100" t="s">
        <v>87</v>
      </c>
      <c r="G327" t="s">
        <v>88</v>
      </c>
      <c r="H327" t="s">
        <v>89</v>
      </c>
      <c r="I327" t="s">
        <v>90</v>
      </c>
      <c r="J327" t="s">
        <v>91</v>
      </c>
      <c r="K327" t="s">
        <v>1262</v>
      </c>
      <c r="M327" s="67"/>
      <c r="N327" s="92" t="s">
        <v>1292</v>
      </c>
      <c r="V327" s="13"/>
    </row>
    <row r="328" spans="2:22">
      <c r="B328" s="50"/>
      <c r="C328" s="67" t="s">
        <v>1293</v>
      </c>
      <c r="D328" s="64" t="s">
        <v>1294</v>
      </c>
      <c r="E328" t="s">
        <v>1295</v>
      </c>
      <c r="F328" s="100" t="s">
        <v>87</v>
      </c>
      <c r="G328" t="s">
        <v>88</v>
      </c>
      <c r="H328" t="s">
        <v>89</v>
      </c>
      <c r="I328" t="s">
        <v>90</v>
      </c>
      <c r="J328" t="s">
        <v>91</v>
      </c>
      <c r="K328" t="s">
        <v>1262</v>
      </c>
      <c r="M328" s="67"/>
      <c r="N328" s="92" t="s">
        <v>1296</v>
      </c>
      <c r="V328" s="13"/>
    </row>
    <row r="329" spans="2:22">
      <c r="B329" s="50"/>
      <c r="C329" s="67" t="s">
        <v>1297</v>
      </c>
      <c r="D329" s="64" t="s">
        <v>1298</v>
      </c>
      <c r="E329" t="s">
        <v>1299</v>
      </c>
      <c r="F329" s="100" t="s">
        <v>87</v>
      </c>
      <c r="G329" t="s">
        <v>88</v>
      </c>
      <c r="H329" t="s">
        <v>89</v>
      </c>
      <c r="I329" t="s">
        <v>90</v>
      </c>
      <c r="J329" t="s">
        <v>204</v>
      </c>
      <c r="K329" t="s">
        <v>168</v>
      </c>
      <c r="M329" s="67"/>
      <c r="N329" s="92" t="s">
        <v>1300</v>
      </c>
      <c r="V329" s="13"/>
    </row>
    <row r="330" spans="2:22">
      <c r="B330" s="50"/>
      <c r="C330" s="67" t="s">
        <v>1301</v>
      </c>
      <c r="D330" s="64" t="s">
        <v>1302</v>
      </c>
      <c r="E330" s="28" t="s">
        <v>1303</v>
      </c>
      <c r="F330" s="100" t="s">
        <v>87</v>
      </c>
      <c r="G330" t="s">
        <v>88</v>
      </c>
      <c r="H330" t="s">
        <v>89</v>
      </c>
      <c r="I330" t="s">
        <v>90</v>
      </c>
      <c r="J330" t="s">
        <v>650</v>
      </c>
      <c r="K330" t="s">
        <v>1181</v>
      </c>
      <c r="M330" s="67"/>
      <c r="N330" s="92" t="s">
        <v>1304</v>
      </c>
      <c r="V330" s="13"/>
    </row>
    <row r="331" spans="2:22">
      <c r="B331" s="50"/>
      <c r="C331" s="67" t="s">
        <v>1305</v>
      </c>
      <c r="D331" s="64" t="s">
        <v>1306</v>
      </c>
      <c r="E331" s="28" t="s">
        <v>1307</v>
      </c>
      <c r="F331" s="100" t="s">
        <v>87</v>
      </c>
      <c r="G331" t="s">
        <v>88</v>
      </c>
      <c r="H331" t="s">
        <v>89</v>
      </c>
      <c r="I331" t="s">
        <v>90</v>
      </c>
      <c r="J331" t="s">
        <v>91</v>
      </c>
      <c r="K331" t="s">
        <v>1283</v>
      </c>
      <c r="M331" s="67"/>
      <c r="N331" s="92" t="s">
        <v>1308</v>
      </c>
      <c r="V331" s="13"/>
    </row>
    <row r="332" spans="2:22" ht="30">
      <c r="B332" s="50"/>
      <c r="C332" s="67" t="s">
        <v>1309</v>
      </c>
      <c r="D332" s="64" t="s">
        <v>1310</v>
      </c>
      <c r="E332" s="28" t="s">
        <v>1311</v>
      </c>
      <c r="F332" s="100" t="s">
        <v>87</v>
      </c>
      <c r="G332" t="s">
        <v>88</v>
      </c>
      <c r="H332" t="s">
        <v>89</v>
      </c>
      <c r="I332" t="s">
        <v>90</v>
      </c>
      <c r="J332" t="s">
        <v>91</v>
      </c>
      <c r="K332" t="s">
        <v>1283</v>
      </c>
      <c r="M332" s="67"/>
      <c r="N332" s="92" t="s">
        <v>1312</v>
      </c>
      <c r="V332" s="13"/>
    </row>
    <row r="333" spans="2:22">
      <c r="B333" s="50"/>
      <c r="C333" s="50" t="s">
        <v>1313</v>
      </c>
      <c r="D333" s="50" t="s">
        <v>1314</v>
      </c>
      <c r="E333" s="28" t="s">
        <v>1315</v>
      </c>
      <c r="F333" s="100" t="s">
        <v>87</v>
      </c>
      <c r="G333" t="s">
        <v>187</v>
      </c>
      <c r="H333" t="s">
        <v>89</v>
      </c>
      <c r="I333" t="s">
        <v>90</v>
      </c>
      <c r="J333" t="s">
        <v>91</v>
      </c>
      <c r="K333" t="s">
        <v>1283</v>
      </c>
      <c r="M333" s="50"/>
      <c r="N333" s="92" t="s">
        <v>1316</v>
      </c>
      <c r="V333" s="13"/>
    </row>
    <row r="334" spans="2:22">
      <c r="B334" s="50"/>
      <c r="C334" s="64" t="s">
        <v>1317</v>
      </c>
      <c r="D334" s="64" t="s">
        <v>1318</v>
      </c>
      <c r="E334" s="28" t="s">
        <v>1319</v>
      </c>
      <c r="F334" s="100" t="s">
        <v>87</v>
      </c>
      <c r="G334" t="s">
        <v>88</v>
      </c>
      <c r="H334" t="s">
        <v>89</v>
      </c>
      <c r="I334" t="s">
        <v>90</v>
      </c>
      <c r="J334" t="s">
        <v>91</v>
      </c>
      <c r="K334" t="s">
        <v>1262</v>
      </c>
      <c r="M334" s="64"/>
      <c r="N334" s="96" t="s">
        <v>1320</v>
      </c>
      <c r="V334" s="13"/>
    </row>
    <row r="335" spans="2:22">
      <c r="B335" s="50"/>
      <c r="C335" s="64" t="s">
        <v>1321</v>
      </c>
      <c r="D335" s="64" t="s">
        <v>1322</v>
      </c>
      <c r="E335" s="28" t="s">
        <v>1323</v>
      </c>
      <c r="F335" s="100" t="s">
        <v>87</v>
      </c>
      <c r="G335" t="s">
        <v>88</v>
      </c>
      <c r="H335" t="s">
        <v>89</v>
      </c>
      <c r="I335" t="s">
        <v>90</v>
      </c>
      <c r="J335" t="s">
        <v>204</v>
      </c>
      <c r="K335" t="s">
        <v>168</v>
      </c>
      <c r="M335" s="64"/>
      <c r="N335" s="92" t="s">
        <v>1324</v>
      </c>
      <c r="V335" s="13"/>
    </row>
    <row r="336" spans="2:22">
      <c r="B336" s="50"/>
      <c r="C336" s="64" t="s">
        <v>1325</v>
      </c>
      <c r="D336" s="64" t="s">
        <v>1326</v>
      </c>
      <c r="E336" s="28" t="s">
        <v>1327</v>
      </c>
      <c r="F336" s="100" t="s">
        <v>87</v>
      </c>
      <c r="G336" t="s">
        <v>88</v>
      </c>
      <c r="H336" t="s">
        <v>89</v>
      </c>
      <c r="I336" t="s">
        <v>90</v>
      </c>
      <c r="J336" t="s">
        <v>650</v>
      </c>
      <c r="K336" t="s">
        <v>1181</v>
      </c>
      <c r="M336" s="64"/>
      <c r="N336" s="92" t="s">
        <v>1328</v>
      </c>
      <c r="V336" s="13"/>
    </row>
    <row r="337" spans="2:22">
      <c r="B337" s="50"/>
      <c r="C337" s="64" t="s">
        <v>1329</v>
      </c>
      <c r="D337" s="64" t="s">
        <v>1330</v>
      </c>
      <c r="E337" s="28" t="s">
        <v>1331</v>
      </c>
      <c r="F337" s="100" t="s">
        <v>87</v>
      </c>
      <c r="G337" t="s">
        <v>88</v>
      </c>
      <c r="H337" t="s">
        <v>89</v>
      </c>
      <c r="I337" t="s">
        <v>90</v>
      </c>
      <c r="J337" t="s">
        <v>650</v>
      </c>
      <c r="K337" t="s">
        <v>1181</v>
      </c>
      <c r="M337" s="64"/>
      <c r="N337" s="92" t="s">
        <v>1332</v>
      </c>
      <c r="V337" s="13"/>
    </row>
    <row r="338" spans="2:22">
      <c r="B338" s="50"/>
      <c r="C338" s="64" t="s">
        <v>1333</v>
      </c>
      <c r="D338" s="64" t="s">
        <v>1334</v>
      </c>
      <c r="E338" s="28" t="s">
        <v>1335</v>
      </c>
      <c r="F338" s="100" t="s">
        <v>87</v>
      </c>
      <c r="G338" t="s">
        <v>88</v>
      </c>
      <c r="H338" t="s">
        <v>89</v>
      </c>
      <c r="I338" t="s">
        <v>90</v>
      </c>
      <c r="J338" t="s">
        <v>91</v>
      </c>
      <c r="K338" t="s">
        <v>1283</v>
      </c>
      <c r="M338" s="64"/>
      <c r="N338" s="92" t="s">
        <v>1336</v>
      </c>
      <c r="V338" s="13"/>
    </row>
    <row r="339" spans="2:22">
      <c r="B339" s="50"/>
      <c r="C339" s="50" t="s">
        <v>1337</v>
      </c>
      <c r="D339" s="80" t="s">
        <v>1338</v>
      </c>
      <c r="E339" s="64" t="s">
        <v>1339</v>
      </c>
      <c r="F339" s="100" t="s">
        <v>87</v>
      </c>
      <c r="G339" t="s">
        <v>149</v>
      </c>
      <c r="H339" t="s">
        <v>89</v>
      </c>
      <c r="I339" t="s">
        <v>90</v>
      </c>
      <c r="J339" t="s">
        <v>204</v>
      </c>
      <c r="K339" t="s">
        <v>168</v>
      </c>
      <c r="M339" s="50"/>
      <c r="N339" s="96" t="s">
        <v>1340</v>
      </c>
      <c r="R339">
        <v>0</v>
      </c>
      <c r="S339">
        <v>0</v>
      </c>
      <c r="T339">
        <v>13</v>
      </c>
      <c r="U339">
        <v>13</v>
      </c>
      <c r="V339" s="13"/>
    </row>
    <row r="340" spans="2:22">
      <c r="B340" s="50"/>
      <c r="C340" s="50" t="s">
        <v>1341</v>
      </c>
      <c r="D340" s="81" t="s">
        <v>1342</v>
      </c>
      <c r="E340" s="64" t="s">
        <v>841</v>
      </c>
      <c r="F340" s="100" t="s">
        <v>87</v>
      </c>
      <c r="G340" t="s">
        <v>149</v>
      </c>
      <c r="H340" t="s">
        <v>89</v>
      </c>
      <c r="I340" t="s">
        <v>90</v>
      </c>
      <c r="J340" t="s">
        <v>204</v>
      </c>
      <c r="K340" t="s">
        <v>168</v>
      </c>
      <c r="M340" s="50"/>
      <c r="N340" s="92" t="s">
        <v>1343</v>
      </c>
      <c r="R340">
        <v>0</v>
      </c>
      <c r="S340">
        <v>0</v>
      </c>
      <c r="T340">
        <v>13</v>
      </c>
      <c r="U340">
        <v>13</v>
      </c>
      <c r="V340" s="13"/>
    </row>
    <row r="341" spans="2:22" ht="30.6" customHeight="1">
      <c r="B341" s="50"/>
      <c r="C341" s="50" t="s">
        <v>1344</v>
      </c>
      <c r="D341" s="70" t="s">
        <v>1345</v>
      </c>
      <c r="E341" s="64" t="s">
        <v>1346</v>
      </c>
      <c r="F341" s="100" t="s">
        <v>87</v>
      </c>
      <c r="G341" t="s">
        <v>88</v>
      </c>
      <c r="H341" t="s">
        <v>89</v>
      </c>
      <c r="I341" t="s">
        <v>90</v>
      </c>
      <c r="J341" t="s">
        <v>204</v>
      </c>
      <c r="K341" t="s">
        <v>168</v>
      </c>
      <c r="M341" s="50"/>
      <c r="N341" s="92" t="s">
        <v>1347</v>
      </c>
      <c r="V341" s="13"/>
    </row>
    <row r="342" spans="2:22" ht="43.5" customHeight="1">
      <c r="B342" s="50"/>
      <c r="C342" s="50" t="s">
        <v>1348</v>
      </c>
      <c r="D342" s="70" t="s">
        <v>1349</v>
      </c>
      <c r="E342" s="64" t="s">
        <v>1350</v>
      </c>
      <c r="F342" s="100" t="s">
        <v>87</v>
      </c>
      <c r="G342" t="s">
        <v>88</v>
      </c>
      <c r="H342" t="s">
        <v>89</v>
      </c>
      <c r="I342" t="s">
        <v>90</v>
      </c>
      <c r="J342" t="s">
        <v>204</v>
      </c>
      <c r="K342" t="s">
        <v>168</v>
      </c>
      <c r="M342" s="50"/>
      <c r="N342" s="92" t="s">
        <v>1351</v>
      </c>
      <c r="V342" s="13"/>
    </row>
    <row r="343" spans="2:22" ht="42" customHeight="1">
      <c r="B343" s="50"/>
      <c r="C343" s="50" t="s">
        <v>1352</v>
      </c>
      <c r="D343" s="70" t="s">
        <v>1353</v>
      </c>
      <c r="E343" s="64" t="s">
        <v>1354</v>
      </c>
      <c r="F343" s="100" t="s">
        <v>87</v>
      </c>
      <c r="G343" t="s">
        <v>88</v>
      </c>
      <c r="H343" t="s">
        <v>89</v>
      </c>
      <c r="I343" t="s">
        <v>90</v>
      </c>
      <c r="J343" t="s">
        <v>204</v>
      </c>
      <c r="K343" t="s">
        <v>168</v>
      </c>
      <c r="M343" s="50"/>
      <c r="N343" s="92" t="s">
        <v>1355</v>
      </c>
      <c r="V343" s="13"/>
    </row>
    <row r="344" spans="2:22" ht="46.5" customHeight="1">
      <c r="B344" s="50"/>
      <c r="C344" s="50" t="s">
        <v>1356</v>
      </c>
      <c r="D344" s="70" t="s">
        <v>1357</v>
      </c>
      <c r="E344" s="64" t="s">
        <v>1358</v>
      </c>
      <c r="F344" s="100" t="s">
        <v>87</v>
      </c>
      <c r="G344" t="s">
        <v>88</v>
      </c>
      <c r="H344" t="s">
        <v>89</v>
      </c>
      <c r="I344" t="s">
        <v>90</v>
      </c>
      <c r="J344" t="s">
        <v>204</v>
      </c>
      <c r="K344" t="s">
        <v>168</v>
      </c>
      <c r="M344" s="50"/>
      <c r="N344" s="92" t="s">
        <v>1359</v>
      </c>
      <c r="V344" s="13"/>
    </row>
    <row r="345" spans="2:22" ht="28.5" customHeight="1">
      <c r="B345" s="50"/>
      <c r="C345" s="50" t="s">
        <v>1360</v>
      </c>
      <c r="D345" s="70" t="s">
        <v>1361</v>
      </c>
      <c r="E345" s="64" t="s">
        <v>1362</v>
      </c>
      <c r="F345" s="100" t="s">
        <v>87</v>
      </c>
      <c r="G345" t="s">
        <v>88</v>
      </c>
      <c r="H345" t="s">
        <v>89</v>
      </c>
      <c r="I345" t="s">
        <v>90</v>
      </c>
      <c r="J345" t="s">
        <v>204</v>
      </c>
      <c r="K345" t="s">
        <v>168</v>
      </c>
      <c r="M345" s="50"/>
      <c r="N345" s="92" t="s">
        <v>1363</v>
      </c>
      <c r="V345" s="13"/>
    </row>
    <row r="346" spans="2:22" ht="30">
      <c r="B346" s="50"/>
      <c r="C346" s="50" t="s">
        <v>1364</v>
      </c>
      <c r="D346" s="70" t="s">
        <v>1365</v>
      </c>
      <c r="E346" s="64" t="s">
        <v>1366</v>
      </c>
      <c r="F346" s="100" t="s">
        <v>87</v>
      </c>
      <c r="G346" t="s">
        <v>88</v>
      </c>
      <c r="H346" t="s">
        <v>89</v>
      </c>
      <c r="I346" t="s">
        <v>90</v>
      </c>
      <c r="J346" t="s">
        <v>204</v>
      </c>
      <c r="K346" t="s">
        <v>168</v>
      </c>
      <c r="M346" s="50"/>
      <c r="N346" s="92" t="s">
        <v>1367</v>
      </c>
      <c r="V346" s="13"/>
    </row>
    <row r="347" spans="2:22" ht="44.45" customHeight="1">
      <c r="B347" s="50"/>
      <c r="C347" s="50" t="s">
        <v>1368</v>
      </c>
      <c r="D347" s="70" t="s">
        <v>1369</v>
      </c>
      <c r="E347" s="64" t="s">
        <v>1370</v>
      </c>
      <c r="F347" s="100" t="s">
        <v>87</v>
      </c>
      <c r="G347" t="s">
        <v>88</v>
      </c>
      <c r="H347" t="s">
        <v>89</v>
      </c>
      <c r="I347" t="s">
        <v>90</v>
      </c>
      <c r="J347" t="s">
        <v>204</v>
      </c>
      <c r="K347" t="s">
        <v>168</v>
      </c>
      <c r="M347" s="50"/>
      <c r="N347" s="92" t="s">
        <v>1371</v>
      </c>
      <c r="V347" s="13"/>
    </row>
    <row r="348" spans="2:22" ht="31.5" customHeight="1">
      <c r="B348" s="50"/>
      <c r="C348" s="50" t="s">
        <v>1372</v>
      </c>
      <c r="D348" s="70" t="s">
        <v>1373</v>
      </c>
      <c r="E348" s="64" t="s">
        <v>1374</v>
      </c>
      <c r="F348" s="100" t="s">
        <v>87</v>
      </c>
      <c r="G348" t="s">
        <v>88</v>
      </c>
      <c r="H348" t="s">
        <v>89</v>
      </c>
      <c r="I348" t="s">
        <v>90</v>
      </c>
      <c r="J348" t="s">
        <v>204</v>
      </c>
      <c r="K348" t="s">
        <v>168</v>
      </c>
      <c r="M348" s="50"/>
      <c r="N348" s="92" t="s">
        <v>1375</v>
      </c>
      <c r="V348" s="13"/>
    </row>
    <row r="349" spans="2:22" ht="31.5" customHeight="1">
      <c r="B349" s="50"/>
      <c r="C349" s="50" t="s">
        <v>1376</v>
      </c>
      <c r="D349" s="70" t="s">
        <v>1377</v>
      </c>
      <c r="E349" s="64" t="s">
        <v>1378</v>
      </c>
      <c r="F349" s="100" t="s">
        <v>87</v>
      </c>
      <c r="G349" t="s">
        <v>88</v>
      </c>
      <c r="H349" t="s">
        <v>89</v>
      </c>
      <c r="I349" t="s">
        <v>90</v>
      </c>
      <c r="J349" t="s">
        <v>204</v>
      </c>
      <c r="K349" t="s">
        <v>168</v>
      </c>
      <c r="M349" s="50"/>
      <c r="N349" s="92" t="s">
        <v>1379</v>
      </c>
      <c r="V349" s="13"/>
    </row>
    <row r="350" spans="2:22" ht="35.450000000000003" customHeight="1">
      <c r="B350" s="50"/>
      <c r="C350" s="50" t="s">
        <v>1380</v>
      </c>
      <c r="D350" s="70" t="s">
        <v>1381</v>
      </c>
      <c r="E350" s="64" t="s">
        <v>1382</v>
      </c>
      <c r="F350" s="100" t="s">
        <v>87</v>
      </c>
      <c r="G350" t="s">
        <v>88</v>
      </c>
      <c r="H350" t="s">
        <v>89</v>
      </c>
      <c r="I350" t="s">
        <v>90</v>
      </c>
      <c r="J350" t="s">
        <v>204</v>
      </c>
      <c r="K350" t="s">
        <v>168</v>
      </c>
      <c r="M350" s="50"/>
      <c r="N350" s="92" t="s">
        <v>1383</v>
      </c>
      <c r="V350" s="13"/>
    </row>
    <row r="351" spans="2:22" ht="32.450000000000003" customHeight="1">
      <c r="B351" s="50"/>
      <c r="C351" s="50" t="s">
        <v>1384</v>
      </c>
      <c r="D351" s="70" t="s">
        <v>1385</v>
      </c>
      <c r="E351" s="64" t="s">
        <v>1386</v>
      </c>
      <c r="F351" s="100" t="s">
        <v>87</v>
      </c>
      <c r="G351" t="s">
        <v>88</v>
      </c>
      <c r="H351" t="s">
        <v>89</v>
      </c>
      <c r="I351" t="s">
        <v>90</v>
      </c>
      <c r="J351" t="s">
        <v>204</v>
      </c>
      <c r="K351" t="s">
        <v>168</v>
      </c>
      <c r="M351" s="50"/>
      <c r="N351" s="92" t="s">
        <v>1387</v>
      </c>
      <c r="V351" s="13"/>
    </row>
    <row r="352" spans="2:22" ht="30.95" customHeight="1">
      <c r="B352" s="50"/>
      <c r="C352" s="50" t="s">
        <v>1388</v>
      </c>
      <c r="D352" s="70" t="s">
        <v>1389</v>
      </c>
      <c r="E352" s="64" t="s">
        <v>1390</v>
      </c>
      <c r="F352" s="100" t="s">
        <v>87</v>
      </c>
      <c r="G352" t="s">
        <v>88</v>
      </c>
      <c r="H352" t="s">
        <v>89</v>
      </c>
      <c r="I352" t="s">
        <v>90</v>
      </c>
      <c r="J352" t="s">
        <v>204</v>
      </c>
      <c r="K352" t="s">
        <v>168</v>
      </c>
      <c r="M352" s="50"/>
      <c r="N352" s="92" t="s">
        <v>1391</v>
      </c>
      <c r="V352" s="13"/>
    </row>
    <row r="353" spans="2:22" ht="29.45" customHeight="1">
      <c r="B353" s="50"/>
      <c r="C353" s="50" t="s">
        <v>1392</v>
      </c>
      <c r="D353" s="70" t="s">
        <v>1393</v>
      </c>
      <c r="E353" s="64" t="s">
        <v>1394</v>
      </c>
      <c r="F353" s="100" t="s">
        <v>87</v>
      </c>
      <c r="G353" t="s">
        <v>88</v>
      </c>
      <c r="H353" t="s">
        <v>89</v>
      </c>
      <c r="I353" t="s">
        <v>90</v>
      </c>
      <c r="J353" t="s">
        <v>204</v>
      </c>
      <c r="K353" t="s">
        <v>168</v>
      </c>
      <c r="M353" s="50"/>
      <c r="N353" s="92" t="s">
        <v>1395</v>
      </c>
      <c r="V353" s="13"/>
    </row>
    <row r="354" spans="2:22" ht="29.45" customHeight="1">
      <c r="B354" s="50"/>
      <c r="C354" s="50" t="s">
        <v>1396</v>
      </c>
      <c r="D354" s="70" t="s">
        <v>1397</v>
      </c>
      <c r="E354" s="64" t="s">
        <v>1398</v>
      </c>
      <c r="F354" s="100" t="s">
        <v>87</v>
      </c>
      <c r="G354" t="s">
        <v>88</v>
      </c>
      <c r="H354" t="s">
        <v>89</v>
      </c>
      <c r="I354" t="s">
        <v>90</v>
      </c>
      <c r="J354" t="s">
        <v>204</v>
      </c>
      <c r="K354" t="s">
        <v>168</v>
      </c>
      <c r="M354" s="50"/>
      <c r="N354" s="92" t="s">
        <v>1399</v>
      </c>
      <c r="V354" s="13"/>
    </row>
    <row r="355" spans="2:22" ht="32.1" customHeight="1">
      <c r="B355" s="50"/>
      <c r="C355" s="50" t="s">
        <v>1400</v>
      </c>
      <c r="D355" s="70" t="s">
        <v>1401</v>
      </c>
      <c r="E355" s="64" t="s">
        <v>1402</v>
      </c>
      <c r="F355" s="100" t="s">
        <v>87</v>
      </c>
      <c r="G355" t="s">
        <v>88</v>
      </c>
      <c r="H355" t="s">
        <v>89</v>
      </c>
      <c r="I355" t="s">
        <v>90</v>
      </c>
      <c r="J355" t="s">
        <v>204</v>
      </c>
      <c r="K355" t="s">
        <v>168</v>
      </c>
      <c r="M355" s="50"/>
      <c r="N355" s="92" t="s">
        <v>1403</v>
      </c>
      <c r="V355" s="13"/>
    </row>
    <row r="356" spans="2:22" ht="26.1" customHeight="1">
      <c r="B356" s="50"/>
      <c r="C356" s="50" t="s">
        <v>1404</v>
      </c>
      <c r="D356" s="70" t="s">
        <v>1405</v>
      </c>
      <c r="E356" s="64" t="s">
        <v>1406</v>
      </c>
      <c r="F356" s="100" t="s">
        <v>87</v>
      </c>
      <c r="G356" t="s">
        <v>88</v>
      </c>
      <c r="H356" t="s">
        <v>89</v>
      </c>
      <c r="I356" t="s">
        <v>90</v>
      </c>
      <c r="J356" t="s">
        <v>204</v>
      </c>
      <c r="K356" t="s">
        <v>168</v>
      </c>
      <c r="M356" s="50"/>
      <c r="N356" s="92" t="s">
        <v>1407</v>
      </c>
      <c r="V356" s="13"/>
    </row>
    <row r="357" spans="2:22" ht="26.45" customHeight="1">
      <c r="B357" s="50"/>
      <c r="C357" s="50" t="s">
        <v>1408</v>
      </c>
      <c r="D357" s="70" t="s">
        <v>1377</v>
      </c>
      <c r="E357" s="64" t="s">
        <v>1409</v>
      </c>
      <c r="F357" s="100" t="s">
        <v>87</v>
      </c>
      <c r="G357" t="s">
        <v>88</v>
      </c>
      <c r="H357" t="s">
        <v>89</v>
      </c>
      <c r="I357" t="s">
        <v>90</v>
      </c>
      <c r="J357" t="s">
        <v>204</v>
      </c>
      <c r="K357" t="s">
        <v>168</v>
      </c>
      <c r="M357" s="50"/>
      <c r="N357" s="92" t="s">
        <v>1410</v>
      </c>
      <c r="V357" s="13"/>
    </row>
    <row r="358" spans="2:22" ht="34.5" customHeight="1">
      <c r="B358" s="50"/>
      <c r="C358" s="50" t="s">
        <v>1411</v>
      </c>
      <c r="D358" s="70" t="s">
        <v>1381</v>
      </c>
      <c r="E358" s="64" t="s">
        <v>1412</v>
      </c>
      <c r="F358" s="100" t="s">
        <v>87</v>
      </c>
      <c r="G358" t="s">
        <v>88</v>
      </c>
      <c r="H358" t="s">
        <v>89</v>
      </c>
      <c r="I358" t="s">
        <v>90</v>
      </c>
      <c r="J358" t="s">
        <v>204</v>
      </c>
      <c r="K358" t="s">
        <v>168</v>
      </c>
      <c r="M358" s="50"/>
      <c r="N358" s="92" t="s">
        <v>1413</v>
      </c>
      <c r="V358" s="13"/>
    </row>
    <row r="359" spans="2:22" ht="32.450000000000003" customHeight="1">
      <c r="B359" s="50"/>
      <c r="C359" s="50" t="s">
        <v>1414</v>
      </c>
      <c r="D359" s="70" t="s">
        <v>1385</v>
      </c>
      <c r="E359" s="64" t="s">
        <v>1415</v>
      </c>
      <c r="F359" s="100" t="s">
        <v>87</v>
      </c>
      <c r="G359" t="s">
        <v>88</v>
      </c>
      <c r="H359" t="s">
        <v>89</v>
      </c>
      <c r="I359" t="s">
        <v>90</v>
      </c>
      <c r="J359" t="s">
        <v>204</v>
      </c>
      <c r="K359" t="s">
        <v>168</v>
      </c>
      <c r="M359" s="50"/>
      <c r="N359" s="92" t="s">
        <v>1416</v>
      </c>
      <c r="V359" s="13"/>
    </row>
    <row r="360" spans="2:22" ht="27.6" customHeight="1">
      <c r="B360" s="50"/>
      <c r="C360" s="50" t="s">
        <v>1417</v>
      </c>
      <c r="D360" s="70" t="s">
        <v>1389</v>
      </c>
      <c r="E360" s="64" t="s">
        <v>1418</v>
      </c>
      <c r="F360" s="100" t="s">
        <v>87</v>
      </c>
      <c r="G360" t="s">
        <v>88</v>
      </c>
      <c r="H360" t="s">
        <v>89</v>
      </c>
      <c r="I360" t="s">
        <v>90</v>
      </c>
      <c r="J360" t="s">
        <v>204</v>
      </c>
      <c r="K360" t="s">
        <v>168</v>
      </c>
      <c r="M360" s="50"/>
      <c r="N360" s="92" t="s">
        <v>1419</v>
      </c>
      <c r="V360" s="13"/>
    </row>
    <row r="361" spans="2:22" ht="30.6" customHeight="1">
      <c r="B361" s="50"/>
      <c r="C361" s="50" t="s">
        <v>1420</v>
      </c>
      <c r="D361" s="70" t="s">
        <v>1393</v>
      </c>
      <c r="E361" s="64" t="s">
        <v>1421</v>
      </c>
      <c r="F361" s="100" t="s">
        <v>87</v>
      </c>
      <c r="G361" t="s">
        <v>88</v>
      </c>
      <c r="H361" t="s">
        <v>89</v>
      </c>
      <c r="I361" t="s">
        <v>90</v>
      </c>
      <c r="J361" t="s">
        <v>204</v>
      </c>
      <c r="K361" t="s">
        <v>168</v>
      </c>
      <c r="M361" s="50"/>
      <c r="N361" s="92" t="s">
        <v>1422</v>
      </c>
      <c r="V361" s="13"/>
    </row>
    <row r="362" spans="2:22" ht="29.45" customHeight="1">
      <c r="B362" s="50"/>
      <c r="C362" s="50" t="s">
        <v>1423</v>
      </c>
      <c r="D362" s="70" t="s">
        <v>1397</v>
      </c>
      <c r="E362" s="64" t="s">
        <v>1424</v>
      </c>
      <c r="F362" s="100" t="s">
        <v>87</v>
      </c>
      <c r="G362" t="s">
        <v>88</v>
      </c>
      <c r="H362" t="s">
        <v>89</v>
      </c>
      <c r="I362" t="s">
        <v>90</v>
      </c>
      <c r="J362" t="s">
        <v>204</v>
      </c>
      <c r="K362" t="s">
        <v>168</v>
      </c>
      <c r="M362" s="50"/>
      <c r="N362" s="92" t="s">
        <v>1425</v>
      </c>
      <c r="V362" s="13"/>
    </row>
    <row r="363" spans="2:22" ht="37.5" customHeight="1">
      <c r="B363" s="50"/>
      <c r="C363" s="50" t="s">
        <v>1426</v>
      </c>
      <c r="D363" s="70" t="s">
        <v>1401</v>
      </c>
      <c r="E363" s="64" t="s">
        <v>1427</v>
      </c>
      <c r="F363" s="100" t="s">
        <v>87</v>
      </c>
      <c r="G363" t="s">
        <v>88</v>
      </c>
      <c r="H363" t="s">
        <v>89</v>
      </c>
      <c r="I363" t="s">
        <v>90</v>
      </c>
      <c r="J363" t="s">
        <v>204</v>
      </c>
      <c r="K363" t="s">
        <v>168</v>
      </c>
      <c r="M363" s="50"/>
      <c r="N363" s="92" t="s">
        <v>1428</v>
      </c>
      <c r="V363" s="13"/>
    </row>
    <row r="364" spans="2:22" ht="28.5" customHeight="1">
      <c r="B364" s="50"/>
      <c r="C364" s="50" t="s">
        <v>1429</v>
      </c>
      <c r="D364" s="70" t="s">
        <v>1405</v>
      </c>
      <c r="E364" s="64" t="s">
        <v>1430</v>
      </c>
      <c r="F364" s="100" t="s">
        <v>87</v>
      </c>
      <c r="G364" t="s">
        <v>88</v>
      </c>
      <c r="H364" t="s">
        <v>89</v>
      </c>
      <c r="I364" t="s">
        <v>90</v>
      </c>
      <c r="J364" t="s">
        <v>204</v>
      </c>
      <c r="K364" t="s">
        <v>168</v>
      </c>
      <c r="M364" s="50"/>
      <c r="N364" s="92" t="s">
        <v>1431</v>
      </c>
      <c r="V364" s="13"/>
    </row>
    <row r="365" spans="2:22">
      <c r="B365" s="50"/>
      <c r="C365" s="50" t="s">
        <v>1432</v>
      </c>
      <c r="D365" s="82" t="s">
        <v>1433</v>
      </c>
      <c r="E365" s="64" t="s">
        <v>1434</v>
      </c>
      <c r="F365" s="100" t="s">
        <v>87</v>
      </c>
      <c r="G365" t="s">
        <v>88</v>
      </c>
      <c r="H365" t="s">
        <v>89</v>
      </c>
      <c r="I365" t="s">
        <v>90</v>
      </c>
      <c r="J365" t="s">
        <v>188</v>
      </c>
      <c r="K365" t="s">
        <v>1435</v>
      </c>
      <c r="M365" s="50"/>
      <c r="N365" s="92" t="s">
        <v>1436</v>
      </c>
      <c r="V365" s="13"/>
    </row>
    <row r="366" spans="2:22">
      <c r="B366" s="50"/>
      <c r="C366" s="50" t="s">
        <v>1437</v>
      </c>
      <c r="D366" s="82" t="s">
        <v>1438</v>
      </c>
      <c r="E366" s="64" t="s">
        <v>1439</v>
      </c>
      <c r="F366" s="100" t="s">
        <v>87</v>
      </c>
      <c r="G366" t="s">
        <v>88</v>
      </c>
      <c r="H366" t="s">
        <v>89</v>
      </c>
      <c r="I366" t="s">
        <v>90</v>
      </c>
      <c r="J366" t="s">
        <v>188</v>
      </c>
      <c r="K366" t="s">
        <v>1435</v>
      </c>
      <c r="M366" s="50"/>
      <c r="N366" s="92" t="s">
        <v>1440</v>
      </c>
      <c r="V366" s="13"/>
    </row>
    <row r="367" spans="2:22" ht="30.6" customHeight="1">
      <c r="B367" s="50"/>
      <c r="C367" s="50" t="s">
        <v>1441</v>
      </c>
      <c r="D367" s="82" t="s">
        <v>1442</v>
      </c>
      <c r="E367" s="64" t="s">
        <v>1443</v>
      </c>
      <c r="F367" s="100" t="s">
        <v>87</v>
      </c>
      <c r="G367" t="s">
        <v>187</v>
      </c>
      <c r="H367" t="s">
        <v>89</v>
      </c>
      <c r="I367" t="s">
        <v>90</v>
      </c>
      <c r="J367" t="s">
        <v>188</v>
      </c>
      <c r="K367" t="s">
        <v>1435</v>
      </c>
      <c r="M367" s="50"/>
      <c r="N367" s="92" t="s">
        <v>1444</v>
      </c>
      <c r="V367" s="13"/>
    </row>
    <row r="368" spans="2:22" ht="28.5" customHeight="1">
      <c r="B368" s="50"/>
      <c r="C368" s="50" t="s">
        <v>1445</v>
      </c>
      <c r="D368" s="82" t="s">
        <v>1446</v>
      </c>
      <c r="E368" s="64" t="s">
        <v>1447</v>
      </c>
      <c r="F368" s="100" t="s">
        <v>87</v>
      </c>
      <c r="G368" t="s">
        <v>88</v>
      </c>
      <c r="H368" t="s">
        <v>89</v>
      </c>
      <c r="I368" t="s">
        <v>90</v>
      </c>
      <c r="J368" t="s">
        <v>188</v>
      </c>
      <c r="K368" t="s">
        <v>1435</v>
      </c>
      <c r="M368" s="50"/>
      <c r="N368" s="92" t="s">
        <v>1448</v>
      </c>
      <c r="V368" s="13"/>
    </row>
    <row r="369" spans="2:22" ht="30">
      <c r="B369" s="50"/>
      <c r="C369" s="50" t="s">
        <v>1449</v>
      </c>
      <c r="D369" s="82" t="s">
        <v>1450</v>
      </c>
      <c r="E369" s="64" t="s">
        <v>1451</v>
      </c>
      <c r="F369" s="100" t="s">
        <v>87</v>
      </c>
      <c r="G369" t="s">
        <v>88</v>
      </c>
      <c r="H369" t="s">
        <v>89</v>
      </c>
      <c r="I369" t="s">
        <v>90</v>
      </c>
      <c r="J369" t="s">
        <v>188</v>
      </c>
      <c r="K369" t="s">
        <v>1435</v>
      </c>
      <c r="M369" s="50"/>
      <c r="N369" s="92" t="s">
        <v>1452</v>
      </c>
      <c r="V369" s="13"/>
    </row>
    <row r="370" spans="2:22">
      <c r="B370" s="50"/>
      <c r="C370" s="50" t="s">
        <v>1453</v>
      </c>
      <c r="D370" s="82" t="s">
        <v>1454</v>
      </c>
      <c r="E370" s="64" t="s">
        <v>1455</v>
      </c>
      <c r="F370" s="100" t="s">
        <v>87</v>
      </c>
      <c r="G370" t="s">
        <v>187</v>
      </c>
      <c r="H370" t="s">
        <v>89</v>
      </c>
      <c r="I370" t="s">
        <v>90</v>
      </c>
      <c r="J370" t="s">
        <v>188</v>
      </c>
      <c r="K370" t="s">
        <v>1435</v>
      </c>
      <c r="M370" s="50"/>
      <c r="N370" s="92" t="s">
        <v>1456</v>
      </c>
      <c r="V370" s="13"/>
    </row>
    <row r="371" spans="2:22" ht="35.450000000000003" customHeight="1">
      <c r="B371" s="50"/>
      <c r="C371" s="50" t="s">
        <v>1457</v>
      </c>
      <c r="D371" s="82" t="s">
        <v>1458</v>
      </c>
      <c r="E371" s="64" t="s">
        <v>1459</v>
      </c>
      <c r="F371" s="100" t="s">
        <v>87</v>
      </c>
      <c r="G371" t="s">
        <v>88</v>
      </c>
      <c r="H371" t="s">
        <v>89</v>
      </c>
      <c r="I371" t="s">
        <v>90</v>
      </c>
      <c r="J371" t="s">
        <v>188</v>
      </c>
      <c r="K371" t="s">
        <v>1435</v>
      </c>
      <c r="M371" s="50"/>
      <c r="N371" s="92" t="s">
        <v>1460</v>
      </c>
      <c r="V371" s="13"/>
    </row>
    <row r="372" spans="2:22" ht="30" customHeight="1">
      <c r="B372" s="50"/>
      <c r="C372" s="50" t="s">
        <v>1461</v>
      </c>
      <c r="D372" s="82" t="s">
        <v>1462</v>
      </c>
      <c r="E372" s="64" t="s">
        <v>1463</v>
      </c>
      <c r="F372" s="100" t="s">
        <v>87</v>
      </c>
      <c r="G372" t="s">
        <v>88</v>
      </c>
      <c r="H372" t="s">
        <v>89</v>
      </c>
      <c r="I372" t="s">
        <v>90</v>
      </c>
      <c r="J372" t="s">
        <v>188</v>
      </c>
      <c r="K372" t="s">
        <v>1435</v>
      </c>
      <c r="M372" s="50"/>
      <c r="N372" s="92" t="s">
        <v>1464</v>
      </c>
      <c r="V372" s="13"/>
    </row>
    <row r="373" spans="2:22" ht="27.95" customHeight="1">
      <c r="B373" s="50"/>
      <c r="C373" s="50" t="s">
        <v>1465</v>
      </c>
      <c r="D373" s="82" t="s">
        <v>1466</v>
      </c>
      <c r="E373" s="64" t="s">
        <v>1467</v>
      </c>
      <c r="F373" s="100" t="s">
        <v>87</v>
      </c>
      <c r="G373" t="s">
        <v>187</v>
      </c>
      <c r="H373" t="s">
        <v>89</v>
      </c>
      <c r="I373" t="s">
        <v>90</v>
      </c>
      <c r="J373" t="s">
        <v>188</v>
      </c>
      <c r="K373" t="s">
        <v>1435</v>
      </c>
      <c r="M373" s="50"/>
      <c r="N373" s="92" t="s">
        <v>1468</v>
      </c>
      <c r="V373" s="13"/>
    </row>
    <row r="374" spans="2:22" ht="32.1" customHeight="1">
      <c r="B374" s="50"/>
      <c r="C374" s="71" t="s">
        <v>1469</v>
      </c>
      <c r="D374" s="50" t="s">
        <v>1470</v>
      </c>
      <c r="E374" s="67" t="s">
        <v>1471</v>
      </c>
      <c r="F374" s="100" t="s">
        <v>87</v>
      </c>
      <c r="G374" t="s">
        <v>88</v>
      </c>
      <c r="H374" t="s">
        <v>89</v>
      </c>
      <c r="I374" t="s">
        <v>90</v>
      </c>
      <c r="J374" t="s">
        <v>91</v>
      </c>
      <c r="K374" t="s">
        <v>1435</v>
      </c>
      <c r="M374" s="71"/>
      <c r="N374" s="91" t="s">
        <v>1472</v>
      </c>
      <c r="V374" s="13"/>
    </row>
    <row r="375" spans="2:22" ht="30.6" customHeight="1">
      <c r="B375" s="50"/>
      <c r="C375" s="72" t="s">
        <v>1473</v>
      </c>
      <c r="D375" s="50" t="s">
        <v>1474</v>
      </c>
      <c r="E375" s="67" t="s">
        <v>1475</v>
      </c>
      <c r="F375" s="100" t="s">
        <v>87</v>
      </c>
      <c r="G375" t="s">
        <v>88</v>
      </c>
      <c r="H375" t="s">
        <v>89</v>
      </c>
      <c r="I375" t="s">
        <v>90</v>
      </c>
      <c r="J375" t="s">
        <v>91</v>
      </c>
      <c r="K375" t="s">
        <v>465</v>
      </c>
      <c r="M375" s="72"/>
      <c r="N375" s="93" t="s">
        <v>1476</v>
      </c>
      <c r="V375" s="13"/>
    </row>
    <row r="376" spans="2:22" ht="23.1" customHeight="1">
      <c r="B376" s="50"/>
      <c r="C376" s="72" t="s">
        <v>1477</v>
      </c>
      <c r="D376" s="50" t="s">
        <v>1478</v>
      </c>
      <c r="E376" s="69" t="s">
        <v>1479</v>
      </c>
      <c r="F376" s="100" t="s">
        <v>87</v>
      </c>
      <c r="G376" t="s">
        <v>187</v>
      </c>
      <c r="H376" t="s">
        <v>89</v>
      </c>
      <c r="I376" t="s">
        <v>90</v>
      </c>
      <c r="J376" t="s">
        <v>91</v>
      </c>
      <c r="K376" t="s">
        <v>465</v>
      </c>
      <c r="M376" s="72"/>
      <c r="N376" s="92" t="s">
        <v>1480</v>
      </c>
      <c r="V376" s="13"/>
    </row>
    <row r="377" spans="2:22" ht="33.6" customHeight="1">
      <c r="B377" s="50"/>
      <c r="C377" s="72" t="s">
        <v>1481</v>
      </c>
      <c r="D377" s="50" t="s">
        <v>1482</v>
      </c>
      <c r="E377" s="69" t="s">
        <v>1483</v>
      </c>
      <c r="F377" s="100" t="s">
        <v>87</v>
      </c>
      <c r="G377" t="s">
        <v>187</v>
      </c>
      <c r="H377" t="s">
        <v>89</v>
      </c>
      <c r="I377" t="s">
        <v>90</v>
      </c>
      <c r="J377" t="s">
        <v>188</v>
      </c>
      <c r="K377" t="s">
        <v>465</v>
      </c>
      <c r="M377" s="72"/>
      <c r="N377" s="92" t="s">
        <v>1484</v>
      </c>
      <c r="V377" s="13"/>
    </row>
    <row r="378" spans="2:22" ht="24" customHeight="1">
      <c r="B378" s="50"/>
      <c r="C378" s="72" t="s">
        <v>1485</v>
      </c>
      <c r="D378" s="50" t="s">
        <v>1486</v>
      </c>
      <c r="E378" s="64" t="s">
        <v>1487</v>
      </c>
      <c r="F378" s="100" t="s">
        <v>87</v>
      </c>
      <c r="G378" t="s">
        <v>88</v>
      </c>
      <c r="H378" t="s">
        <v>89</v>
      </c>
      <c r="I378" t="s">
        <v>90</v>
      </c>
      <c r="J378" t="s">
        <v>188</v>
      </c>
      <c r="K378" t="s">
        <v>1488</v>
      </c>
      <c r="M378" s="72"/>
      <c r="N378" s="93" t="s">
        <v>1489</v>
      </c>
      <c r="V378" s="13"/>
    </row>
    <row r="379" spans="2:22">
      <c r="B379" s="50"/>
      <c r="C379" s="72" t="s">
        <v>1490</v>
      </c>
      <c r="D379" s="50" t="s">
        <v>1491</v>
      </c>
      <c r="E379" s="64" t="s">
        <v>1492</v>
      </c>
      <c r="F379" s="100" t="s">
        <v>87</v>
      </c>
      <c r="G379" t="s">
        <v>88</v>
      </c>
      <c r="H379" t="s">
        <v>89</v>
      </c>
      <c r="I379" t="s">
        <v>90</v>
      </c>
      <c r="J379" t="s">
        <v>91</v>
      </c>
      <c r="K379" t="s">
        <v>1488</v>
      </c>
      <c r="M379" s="72"/>
      <c r="N379" s="93" t="s">
        <v>1493</v>
      </c>
      <c r="V379" s="13"/>
    </row>
    <row r="380" spans="2:22" ht="24" customHeight="1">
      <c r="B380" s="50"/>
      <c r="C380" s="72" t="s">
        <v>1494</v>
      </c>
      <c r="D380" s="50" t="s">
        <v>1495</v>
      </c>
      <c r="E380" s="64" t="s">
        <v>1496</v>
      </c>
      <c r="F380" s="100" t="s">
        <v>87</v>
      </c>
      <c r="G380" t="s">
        <v>88</v>
      </c>
      <c r="H380" t="s">
        <v>89</v>
      </c>
      <c r="I380" t="s">
        <v>90</v>
      </c>
      <c r="J380" t="s">
        <v>91</v>
      </c>
      <c r="K380" t="s">
        <v>1283</v>
      </c>
      <c r="M380" s="72"/>
      <c r="N380" s="91" t="s">
        <v>1497</v>
      </c>
      <c r="V380" s="13"/>
    </row>
    <row r="381" spans="2:22" ht="27.95" customHeight="1">
      <c r="B381" s="50"/>
      <c r="C381" s="72" t="s">
        <v>1498</v>
      </c>
      <c r="D381" s="50" t="s">
        <v>1499</v>
      </c>
      <c r="E381" s="64" t="s">
        <v>1500</v>
      </c>
      <c r="F381" s="100" t="s">
        <v>87</v>
      </c>
      <c r="G381" t="s">
        <v>88</v>
      </c>
      <c r="H381" t="s">
        <v>89</v>
      </c>
      <c r="I381" t="s">
        <v>90</v>
      </c>
      <c r="J381" t="s">
        <v>204</v>
      </c>
      <c r="K381" t="s">
        <v>1283</v>
      </c>
      <c r="M381" s="72"/>
      <c r="N381" s="93" t="s">
        <v>1501</v>
      </c>
      <c r="V381" s="13"/>
    </row>
    <row r="382" spans="2:22">
      <c r="B382" s="50"/>
      <c r="C382" s="72" t="s">
        <v>1502</v>
      </c>
      <c r="D382" s="83" t="s">
        <v>1503</v>
      </c>
      <c r="E382" s="64" t="s">
        <v>1504</v>
      </c>
      <c r="F382" s="100" t="s">
        <v>87</v>
      </c>
      <c r="G382" t="s">
        <v>149</v>
      </c>
      <c r="H382" t="s">
        <v>89</v>
      </c>
      <c r="I382" t="s">
        <v>90</v>
      </c>
      <c r="J382" t="s">
        <v>91</v>
      </c>
      <c r="K382" t="s">
        <v>168</v>
      </c>
      <c r="M382" s="72"/>
      <c r="N382" s="93" t="s">
        <v>1505</v>
      </c>
      <c r="R382">
        <v>0</v>
      </c>
      <c r="S382">
        <v>0</v>
      </c>
      <c r="T382">
        <v>11</v>
      </c>
      <c r="U382">
        <v>11</v>
      </c>
      <c r="V382" s="13"/>
    </row>
    <row r="383" spans="2:22">
      <c r="B383" s="50"/>
      <c r="C383" s="72" t="s">
        <v>1506</v>
      </c>
      <c r="D383" s="50" t="s">
        <v>1507</v>
      </c>
      <c r="E383" s="64" t="s">
        <v>1508</v>
      </c>
      <c r="F383" s="100" t="s">
        <v>87</v>
      </c>
      <c r="G383" t="s">
        <v>102</v>
      </c>
      <c r="H383" t="s">
        <v>89</v>
      </c>
      <c r="I383" t="s">
        <v>90</v>
      </c>
      <c r="J383" t="s">
        <v>91</v>
      </c>
      <c r="K383" t="s">
        <v>132</v>
      </c>
      <c r="M383" s="72"/>
      <c r="N383" s="93" t="s">
        <v>1509</v>
      </c>
      <c r="S383">
        <v>0</v>
      </c>
      <c r="T383">
        <v>3</v>
      </c>
      <c r="U383">
        <v>3</v>
      </c>
      <c r="V383" s="13"/>
    </row>
    <row r="384" spans="2:22" ht="31.5" customHeight="1">
      <c r="B384" s="50"/>
      <c r="C384" s="64" t="s">
        <v>1510</v>
      </c>
      <c r="D384" s="50" t="s">
        <v>1511</v>
      </c>
      <c r="E384" s="64" t="s">
        <v>1512</v>
      </c>
      <c r="F384" s="100" t="s">
        <v>87</v>
      </c>
      <c r="G384" t="s">
        <v>102</v>
      </c>
      <c r="H384" t="s">
        <v>89</v>
      </c>
      <c r="I384" t="s">
        <v>90</v>
      </c>
      <c r="J384" t="s">
        <v>91</v>
      </c>
      <c r="K384" t="s">
        <v>132</v>
      </c>
      <c r="M384" s="64"/>
      <c r="N384" s="93" t="s">
        <v>1513</v>
      </c>
      <c r="S384">
        <v>0</v>
      </c>
      <c r="T384">
        <v>11</v>
      </c>
      <c r="U384">
        <v>11</v>
      </c>
      <c r="V384" s="13"/>
    </row>
    <row r="385" spans="2:22">
      <c r="B385" s="50"/>
      <c r="C385" s="64" t="s">
        <v>1514</v>
      </c>
      <c r="D385" s="50" t="s">
        <v>1515</v>
      </c>
      <c r="E385" s="64" t="s">
        <v>1516</v>
      </c>
      <c r="F385" s="100" t="s">
        <v>87</v>
      </c>
      <c r="G385" t="s">
        <v>187</v>
      </c>
      <c r="H385" t="s">
        <v>89</v>
      </c>
      <c r="I385" t="s">
        <v>90</v>
      </c>
      <c r="J385" t="s">
        <v>91</v>
      </c>
      <c r="K385" t="s">
        <v>132</v>
      </c>
      <c r="M385" s="64"/>
      <c r="N385" s="93" t="s">
        <v>1517</v>
      </c>
      <c r="V385" s="13"/>
    </row>
    <row r="386" spans="2:22" ht="30" customHeight="1">
      <c r="B386" s="50"/>
      <c r="C386" s="64" t="s">
        <v>1518</v>
      </c>
      <c r="D386" s="68" t="s">
        <v>1519</v>
      </c>
      <c r="E386" s="68" t="s">
        <v>1520</v>
      </c>
      <c r="F386" s="100" t="s">
        <v>87</v>
      </c>
      <c r="G386" t="s">
        <v>213</v>
      </c>
      <c r="H386" t="s">
        <v>89</v>
      </c>
      <c r="I386" t="s">
        <v>90</v>
      </c>
      <c r="J386" t="s">
        <v>1521</v>
      </c>
      <c r="K386" t="s">
        <v>1522</v>
      </c>
      <c r="M386" s="64"/>
      <c r="N386" s="104" t="s">
        <v>1523</v>
      </c>
      <c r="U386">
        <v>160</v>
      </c>
      <c r="V386" s="13" t="s">
        <v>215</v>
      </c>
    </row>
    <row r="387" spans="2:22" ht="33.6" customHeight="1">
      <c r="B387" s="50"/>
      <c r="C387" s="64" t="s">
        <v>1518</v>
      </c>
      <c r="D387" s="68" t="s">
        <v>1524</v>
      </c>
      <c r="E387" s="68" t="s">
        <v>1525</v>
      </c>
      <c r="F387" s="100" t="s">
        <v>87</v>
      </c>
      <c r="G387" t="s">
        <v>213</v>
      </c>
      <c r="H387" t="s">
        <v>89</v>
      </c>
      <c r="I387" t="s">
        <v>90</v>
      </c>
      <c r="J387" t="s">
        <v>1521</v>
      </c>
      <c r="K387" t="s">
        <v>1522</v>
      </c>
      <c r="M387" s="64"/>
      <c r="N387" s="104" t="s">
        <v>1526</v>
      </c>
      <c r="U387">
        <v>160</v>
      </c>
      <c r="V387" s="13" t="s">
        <v>215</v>
      </c>
    </row>
    <row r="388" spans="2:22" ht="30.6" customHeight="1">
      <c r="B388" s="50"/>
      <c r="C388" s="64" t="s">
        <v>1518</v>
      </c>
      <c r="D388" s="68" t="s">
        <v>1527</v>
      </c>
      <c r="E388" s="68" t="s">
        <v>1528</v>
      </c>
      <c r="F388" s="100" t="s">
        <v>87</v>
      </c>
      <c r="G388" t="s">
        <v>1529</v>
      </c>
      <c r="H388" t="s">
        <v>89</v>
      </c>
      <c r="I388" t="s">
        <v>90</v>
      </c>
      <c r="J388" t="s">
        <v>1521</v>
      </c>
      <c r="K388" t="s">
        <v>1522</v>
      </c>
      <c r="M388" s="64"/>
      <c r="N388" s="104" t="s">
        <v>1530</v>
      </c>
      <c r="U388">
        <v>10</v>
      </c>
      <c r="V388" s="13"/>
    </row>
    <row r="389" spans="2:22" ht="19.5" customHeight="1">
      <c r="B389" s="50"/>
      <c r="C389" s="64" t="s">
        <v>1518</v>
      </c>
      <c r="D389" s="68" t="s">
        <v>1531</v>
      </c>
      <c r="E389" s="68" t="s">
        <v>1532</v>
      </c>
      <c r="F389" s="100" t="s">
        <v>87</v>
      </c>
      <c r="G389" t="s">
        <v>102</v>
      </c>
      <c r="H389" t="s">
        <v>89</v>
      </c>
      <c r="I389" t="s">
        <v>90</v>
      </c>
      <c r="J389" t="s">
        <v>1521</v>
      </c>
      <c r="K389" t="s">
        <v>1522</v>
      </c>
      <c r="M389" s="64"/>
      <c r="N389" s="104" t="s">
        <v>1533</v>
      </c>
      <c r="S389">
        <v>0</v>
      </c>
      <c r="T389">
        <v>4</v>
      </c>
      <c r="U389">
        <v>4</v>
      </c>
      <c r="V389" s="13"/>
    </row>
    <row r="390" spans="2:22" ht="15.95" customHeight="1">
      <c r="B390" s="50"/>
      <c r="C390" s="64" t="s">
        <v>1518</v>
      </c>
      <c r="D390" s="68" t="s">
        <v>1534</v>
      </c>
      <c r="E390" s="68" t="s">
        <v>1535</v>
      </c>
      <c r="F390" s="100" t="s">
        <v>87</v>
      </c>
      <c r="G390" t="s">
        <v>1536</v>
      </c>
      <c r="H390" t="s">
        <v>89</v>
      </c>
      <c r="I390" t="s">
        <v>90</v>
      </c>
      <c r="J390" t="s">
        <v>1521</v>
      </c>
      <c r="K390" t="s">
        <v>1522</v>
      </c>
      <c r="M390" s="64"/>
      <c r="N390" s="104" t="s">
        <v>1537</v>
      </c>
      <c r="U390">
        <v>50</v>
      </c>
      <c r="V390" s="13" t="s">
        <v>1538</v>
      </c>
    </row>
    <row r="391" spans="2:22">
      <c r="B391" s="50"/>
      <c r="C391" s="64" t="s">
        <v>1539</v>
      </c>
      <c r="D391" s="50" t="s">
        <v>1540</v>
      </c>
      <c r="E391" s="66" t="s">
        <v>1541</v>
      </c>
      <c r="F391" s="100" t="s">
        <v>87</v>
      </c>
      <c r="G391" t="s">
        <v>88</v>
      </c>
      <c r="H391" t="s">
        <v>89</v>
      </c>
      <c r="I391" t="s">
        <v>90</v>
      </c>
      <c r="J391" t="s">
        <v>1521</v>
      </c>
      <c r="K391" t="s">
        <v>1522</v>
      </c>
      <c r="M391" s="64"/>
      <c r="N391" s="13" t="s">
        <v>1542</v>
      </c>
      <c r="V391" s="13"/>
    </row>
    <row r="392" spans="2:22" ht="27" customHeight="1">
      <c r="B392" s="50"/>
      <c r="C392" s="64" t="s">
        <v>1543</v>
      </c>
      <c r="D392" s="105" t="s">
        <v>1544</v>
      </c>
      <c r="E392" s="68" t="s">
        <v>1545</v>
      </c>
      <c r="F392" s="100" t="s">
        <v>87</v>
      </c>
      <c r="G392" t="s">
        <v>259</v>
      </c>
      <c r="H392" t="s">
        <v>89</v>
      </c>
      <c r="I392" t="s">
        <v>90</v>
      </c>
      <c r="J392" t="s">
        <v>1521</v>
      </c>
      <c r="K392" t="s">
        <v>1546</v>
      </c>
      <c r="M392" s="64"/>
      <c r="N392" s="120" t="s">
        <v>1547</v>
      </c>
      <c r="U392">
        <v>4000</v>
      </c>
      <c r="V392" s="13" t="s">
        <v>215</v>
      </c>
    </row>
    <row r="393" spans="2:22">
      <c r="B393" s="50"/>
      <c r="C393" s="64" t="s">
        <v>1548</v>
      </c>
      <c r="D393" s="64" t="s">
        <v>1549</v>
      </c>
      <c r="E393" s="64" t="s">
        <v>1550</v>
      </c>
      <c r="F393" s="100" t="s">
        <v>87</v>
      </c>
      <c r="G393" t="s">
        <v>187</v>
      </c>
      <c r="H393" t="s">
        <v>89</v>
      </c>
      <c r="I393" t="s">
        <v>90</v>
      </c>
      <c r="J393" t="s">
        <v>91</v>
      </c>
      <c r="K393" t="s">
        <v>1283</v>
      </c>
      <c r="M393" s="64"/>
      <c r="N393" s="106" t="s">
        <v>1551</v>
      </c>
      <c r="V393" s="13"/>
    </row>
    <row r="394" spans="2:22" ht="30">
      <c r="B394" s="50"/>
      <c r="C394" s="64" t="s">
        <v>1552</v>
      </c>
      <c r="D394" s="64" t="s">
        <v>1553</v>
      </c>
      <c r="E394" s="64" t="s">
        <v>1554</v>
      </c>
      <c r="F394" s="100" t="s">
        <v>87</v>
      </c>
      <c r="G394" t="s">
        <v>88</v>
      </c>
      <c r="H394" t="s">
        <v>89</v>
      </c>
      <c r="I394" t="s">
        <v>90</v>
      </c>
      <c r="J394" t="s">
        <v>91</v>
      </c>
      <c r="K394" t="s">
        <v>1283</v>
      </c>
      <c r="M394" s="64"/>
      <c r="N394" s="67" t="s">
        <v>1555</v>
      </c>
      <c r="V394" s="13"/>
    </row>
    <row r="395" spans="2:22">
      <c r="B395" s="50"/>
      <c r="C395" s="64" t="s">
        <v>1556</v>
      </c>
      <c r="D395" s="64" t="s">
        <v>1557</v>
      </c>
      <c r="E395" s="64" t="s">
        <v>1558</v>
      </c>
      <c r="F395" s="100" t="s">
        <v>87</v>
      </c>
      <c r="G395" t="s">
        <v>88</v>
      </c>
      <c r="H395" t="s">
        <v>89</v>
      </c>
      <c r="I395" t="s">
        <v>90</v>
      </c>
      <c r="J395" t="s">
        <v>91</v>
      </c>
      <c r="K395" t="s">
        <v>1283</v>
      </c>
      <c r="M395" s="64"/>
      <c r="N395" s="106" t="s">
        <v>1559</v>
      </c>
      <c r="V395" s="13"/>
    </row>
    <row r="396" spans="2:22" ht="30">
      <c r="B396" s="50"/>
      <c r="C396" s="64" t="s">
        <v>1560</v>
      </c>
      <c r="D396" s="64" t="s">
        <v>1561</v>
      </c>
      <c r="E396" s="64" t="s">
        <v>1562</v>
      </c>
      <c r="F396" s="100" t="s">
        <v>87</v>
      </c>
      <c r="G396" t="s">
        <v>88</v>
      </c>
      <c r="H396" t="s">
        <v>89</v>
      </c>
      <c r="I396" t="s">
        <v>90</v>
      </c>
      <c r="J396" t="s">
        <v>91</v>
      </c>
      <c r="K396" t="s">
        <v>1283</v>
      </c>
      <c r="M396" s="64"/>
      <c r="N396" s="106" t="s">
        <v>1563</v>
      </c>
      <c r="V396" s="13"/>
    </row>
    <row r="397" spans="2:22" ht="30">
      <c r="B397" s="50"/>
      <c r="C397" s="64" t="s">
        <v>1564</v>
      </c>
      <c r="D397" s="64" t="s">
        <v>1565</v>
      </c>
      <c r="E397" s="64" t="s">
        <v>1566</v>
      </c>
      <c r="F397" s="100" t="s">
        <v>87</v>
      </c>
      <c r="G397" t="s">
        <v>187</v>
      </c>
      <c r="H397" t="s">
        <v>89</v>
      </c>
      <c r="I397" t="s">
        <v>90</v>
      </c>
      <c r="J397" t="s">
        <v>91</v>
      </c>
      <c r="K397" t="s">
        <v>1567</v>
      </c>
      <c r="M397" s="64"/>
      <c r="N397" s="106" t="s">
        <v>1568</v>
      </c>
      <c r="V397" s="13"/>
    </row>
    <row r="398" spans="2:22" ht="45">
      <c r="B398" s="50"/>
      <c r="C398" s="64" t="s">
        <v>1569</v>
      </c>
      <c r="D398" s="64" t="s">
        <v>1570</v>
      </c>
      <c r="E398" s="64" t="s">
        <v>1571</v>
      </c>
      <c r="F398" s="100" t="s">
        <v>87</v>
      </c>
      <c r="G398" t="s">
        <v>88</v>
      </c>
      <c r="H398" t="s">
        <v>89</v>
      </c>
      <c r="I398" t="s">
        <v>90</v>
      </c>
      <c r="J398" t="s">
        <v>91</v>
      </c>
      <c r="K398" t="s">
        <v>1567</v>
      </c>
      <c r="M398" s="64"/>
      <c r="N398" s="13" t="s">
        <v>1572</v>
      </c>
      <c r="V398" s="13"/>
    </row>
    <row r="399" spans="2:22" ht="30">
      <c r="B399" s="50"/>
      <c r="C399" s="64" t="s">
        <v>1569</v>
      </c>
      <c r="D399" s="64" t="s">
        <v>1573</v>
      </c>
      <c r="E399" s="64" t="s">
        <v>1574</v>
      </c>
      <c r="F399" s="100" t="s">
        <v>87</v>
      </c>
      <c r="G399" t="s">
        <v>88</v>
      </c>
      <c r="H399" t="s">
        <v>89</v>
      </c>
      <c r="I399" t="s">
        <v>90</v>
      </c>
      <c r="J399" t="s">
        <v>91</v>
      </c>
      <c r="K399" t="s">
        <v>1567</v>
      </c>
      <c r="M399" s="64"/>
      <c r="N399" s="13" t="s">
        <v>1575</v>
      </c>
      <c r="V399" s="13"/>
    </row>
    <row r="400" spans="2:22" ht="45">
      <c r="B400" s="50"/>
      <c r="C400" s="64" t="s">
        <v>1569</v>
      </c>
      <c r="D400" s="64" t="s">
        <v>1576</v>
      </c>
      <c r="E400" s="64" t="s">
        <v>1577</v>
      </c>
      <c r="F400" s="100" t="s">
        <v>87</v>
      </c>
      <c r="G400" t="s">
        <v>88</v>
      </c>
      <c r="H400" t="s">
        <v>89</v>
      </c>
      <c r="I400" t="s">
        <v>90</v>
      </c>
      <c r="J400" t="s">
        <v>91</v>
      </c>
      <c r="K400" t="s">
        <v>1567</v>
      </c>
      <c r="M400" s="64"/>
      <c r="N400" s="13" t="s">
        <v>1578</v>
      </c>
      <c r="V400" s="13"/>
    </row>
    <row r="401" spans="2:22" ht="45">
      <c r="B401" s="50"/>
      <c r="C401" s="64" t="s">
        <v>1569</v>
      </c>
      <c r="D401" s="64" t="s">
        <v>1579</v>
      </c>
      <c r="E401" s="64" t="s">
        <v>1580</v>
      </c>
      <c r="F401" s="100" t="s">
        <v>87</v>
      </c>
      <c r="G401" t="s">
        <v>88</v>
      </c>
      <c r="H401" t="s">
        <v>89</v>
      </c>
      <c r="I401" t="s">
        <v>90</v>
      </c>
      <c r="J401" t="s">
        <v>91</v>
      </c>
      <c r="K401" t="s">
        <v>1567</v>
      </c>
      <c r="M401" s="64"/>
      <c r="N401" s="13" t="s">
        <v>1581</v>
      </c>
      <c r="V401" s="13"/>
    </row>
    <row r="402" spans="2:22" ht="45">
      <c r="B402" s="50"/>
      <c r="C402" s="64" t="s">
        <v>1569</v>
      </c>
      <c r="D402" s="64" t="s">
        <v>1582</v>
      </c>
      <c r="E402" s="64" t="s">
        <v>1583</v>
      </c>
      <c r="F402" s="100" t="s">
        <v>87</v>
      </c>
      <c r="G402" t="s">
        <v>88</v>
      </c>
      <c r="H402" t="s">
        <v>89</v>
      </c>
      <c r="I402" t="s">
        <v>90</v>
      </c>
      <c r="J402" t="s">
        <v>91</v>
      </c>
      <c r="K402" t="s">
        <v>1567</v>
      </c>
      <c r="M402" s="64"/>
      <c r="N402" s="13" t="s">
        <v>1584</v>
      </c>
      <c r="V402" s="13"/>
    </row>
    <row r="403" spans="2:22" ht="30">
      <c r="B403" s="50"/>
      <c r="C403" s="64" t="s">
        <v>1569</v>
      </c>
      <c r="D403" s="64" t="s">
        <v>1585</v>
      </c>
      <c r="E403" s="64" t="s">
        <v>1586</v>
      </c>
      <c r="F403" s="100" t="s">
        <v>87</v>
      </c>
      <c r="G403" t="s">
        <v>88</v>
      </c>
      <c r="H403" t="s">
        <v>89</v>
      </c>
      <c r="I403" t="s">
        <v>90</v>
      </c>
      <c r="J403" t="s">
        <v>91</v>
      </c>
      <c r="K403" t="s">
        <v>1567</v>
      </c>
      <c r="M403" s="64"/>
      <c r="N403" s="13" t="s">
        <v>1587</v>
      </c>
      <c r="V403" s="13"/>
    </row>
    <row r="404" spans="2:22" ht="30">
      <c r="B404" s="50"/>
      <c r="C404" s="64" t="s">
        <v>1588</v>
      </c>
      <c r="D404" s="64" t="s">
        <v>1589</v>
      </c>
      <c r="E404" s="64" t="s">
        <v>1590</v>
      </c>
      <c r="F404" s="100" t="s">
        <v>87</v>
      </c>
      <c r="G404" t="s">
        <v>187</v>
      </c>
      <c r="H404" t="s">
        <v>89</v>
      </c>
      <c r="I404" t="s">
        <v>90</v>
      </c>
      <c r="J404" t="s">
        <v>91</v>
      </c>
      <c r="K404" t="s">
        <v>1567</v>
      </c>
      <c r="M404" s="64"/>
      <c r="N404" s="13" t="s">
        <v>1591</v>
      </c>
      <c r="V404" s="13"/>
    </row>
    <row r="405" spans="2:22" ht="30">
      <c r="B405" s="50"/>
      <c r="C405" s="64" t="s">
        <v>1592</v>
      </c>
      <c r="D405" s="64" t="s">
        <v>1593</v>
      </c>
      <c r="E405" s="64" t="s">
        <v>1594</v>
      </c>
      <c r="F405" s="100" t="s">
        <v>87</v>
      </c>
      <c r="G405" t="s">
        <v>88</v>
      </c>
      <c r="H405" t="s">
        <v>89</v>
      </c>
      <c r="I405" t="s">
        <v>90</v>
      </c>
      <c r="J405" t="s">
        <v>91</v>
      </c>
      <c r="K405" t="s">
        <v>850</v>
      </c>
      <c r="M405" s="64"/>
      <c r="N405" s="13" t="s">
        <v>1595</v>
      </c>
      <c r="V405" s="13"/>
    </row>
    <row r="406" spans="2:22" ht="26.45" customHeight="1">
      <c r="B406" s="50"/>
      <c r="C406" s="68" t="s">
        <v>1596</v>
      </c>
      <c r="D406" s="50"/>
      <c r="E406" s="66" t="s">
        <v>1597</v>
      </c>
      <c r="F406" s="100" t="s">
        <v>87</v>
      </c>
      <c r="G406" t="s">
        <v>88</v>
      </c>
      <c r="H406" t="s">
        <v>89</v>
      </c>
      <c r="I406" t="s">
        <v>90</v>
      </c>
      <c r="J406" t="s">
        <v>91</v>
      </c>
      <c r="K406" t="s">
        <v>260</v>
      </c>
      <c r="M406" s="68"/>
      <c r="N406" s="108" t="s">
        <v>1598</v>
      </c>
      <c r="V406" s="13"/>
    </row>
    <row r="407" spans="2:22" ht="30.95" customHeight="1">
      <c r="B407" s="50"/>
      <c r="C407" s="68" t="s">
        <v>1599</v>
      </c>
      <c r="D407" s="50"/>
      <c r="E407" s="66" t="s">
        <v>1600</v>
      </c>
      <c r="F407" s="100" t="s">
        <v>87</v>
      </c>
      <c r="G407" t="s">
        <v>88</v>
      </c>
      <c r="H407" t="s">
        <v>89</v>
      </c>
      <c r="I407" t="s">
        <v>90</v>
      </c>
      <c r="J407" t="s">
        <v>91</v>
      </c>
      <c r="K407" t="s">
        <v>1601</v>
      </c>
      <c r="M407" s="68"/>
      <c r="N407" s="65" t="s">
        <v>1602</v>
      </c>
      <c r="V407" s="13"/>
    </row>
    <row r="408" spans="2:22" ht="29.1" customHeight="1">
      <c r="B408" s="50"/>
      <c r="C408" s="68" t="s">
        <v>1603</v>
      </c>
      <c r="D408" s="50"/>
      <c r="E408" s="66" t="s">
        <v>1604</v>
      </c>
      <c r="F408" s="100" t="s">
        <v>87</v>
      </c>
      <c r="G408" t="s">
        <v>88</v>
      </c>
      <c r="H408" t="s">
        <v>89</v>
      </c>
      <c r="I408" t="s">
        <v>90</v>
      </c>
      <c r="J408" t="s">
        <v>91</v>
      </c>
      <c r="K408" t="s">
        <v>1601</v>
      </c>
      <c r="M408" s="68"/>
      <c r="N408" s="65" t="s">
        <v>1605</v>
      </c>
      <c r="V408" s="13"/>
    </row>
    <row r="409" spans="2:22">
      <c r="B409" s="50"/>
      <c r="C409" s="65"/>
      <c r="D409" s="50"/>
      <c r="E409" s="50"/>
      <c r="N409" s="13"/>
      <c r="V409" s="13"/>
    </row>
    <row r="410" spans="2:22">
      <c r="B410" s="50"/>
      <c r="C410" s="65"/>
      <c r="D410" s="50"/>
      <c r="E410" s="50"/>
      <c r="N410" s="13"/>
      <c r="V410" s="13"/>
    </row>
    <row r="411" spans="2:22">
      <c r="B411" s="50"/>
      <c r="C411" s="65"/>
      <c r="D411" s="50"/>
      <c r="E411" s="50"/>
      <c r="N411" s="13"/>
      <c r="V411" s="13"/>
    </row>
    <row r="412" spans="2:22">
      <c r="B412" s="50"/>
      <c r="C412" s="66"/>
      <c r="D412" s="50"/>
      <c r="E412" s="50"/>
      <c r="N412" s="13"/>
      <c r="V412" s="13"/>
    </row>
    <row r="413" spans="2:22">
      <c r="B413" s="50"/>
      <c r="C413" s="66"/>
      <c r="D413" s="50"/>
      <c r="E413" s="50"/>
      <c r="N413" s="13"/>
    </row>
    <row r="414" spans="2:22">
      <c r="B414" s="50"/>
      <c r="C414" s="66"/>
      <c r="D414" s="50"/>
      <c r="E414" s="50"/>
      <c r="N414" s="13"/>
    </row>
    <row r="415" spans="2:22">
      <c r="B415" s="50"/>
      <c r="C415" s="66"/>
      <c r="D415" s="50"/>
      <c r="E415" s="50"/>
      <c r="N415" s="13"/>
    </row>
    <row r="416" spans="2:22">
      <c r="B416" s="50"/>
      <c r="C416" s="66"/>
      <c r="D416" s="50"/>
      <c r="E416" s="50"/>
      <c r="N416" s="13"/>
    </row>
    <row r="417" spans="2:14">
      <c r="B417" s="50"/>
      <c r="C417" s="66"/>
      <c r="D417" s="50"/>
      <c r="E417" s="50"/>
      <c r="N417" s="13"/>
    </row>
    <row r="418" spans="2:14">
      <c r="B418" s="50"/>
      <c r="C418" s="66"/>
      <c r="D418" s="50"/>
      <c r="E418" s="50"/>
      <c r="N418" s="13"/>
    </row>
    <row r="419" spans="2:14">
      <c r="B419" s="50"/>
      <c r="C419" s="66"/>
      <c r="D419" s="50"/>
      <c r="E419" s="50"/>
      <c r="N419" s="13"/>
    </row>
    <row r="420" spans="2:14">
      <c r="B420" s="50"/>
      <c r="C420" s="66"/>
      <c r="D420" s="50"/>
      <c r="E420" s="50"/>
      <c r="N420" s="13"/>
    </row>
    <row r="421" spans="2:14">
      <c r="B421" s="50"/>
      <c r="C421" s="66"/>
      <c r="D421" s="50"/>
      <c r="E421" s="50"/>
      <c r="N421" s="13"/>
    </row>
    <row r="422" spans="2:14">
      <c r="B422" s="50"/>
      <c r="C422" s="64"/>
      <c r="D422" s="50"/>
      <c r="E422" s="50"/>
      <c r="N422" s="13"/>
    </row>
    <row r="423" spans="2:14">
      <c r="B423" s="50"/>
      <c r="C423" s="64"/>
      <c r="D423" s="50"/>
      <c r="E423" s="50"/>
      <c r="N423" s="13"/>
    </row>
    <row r="424" spans="2:14">
      <c r="B424" s="50"/>
      <c r="C424" s="64"/>
      <c r="D424" s="50"/>
      <c r="E424" s="50"/>
    </row>
    <row r="425" spans="2:14">
      <c r="B425" s="50"/>
      <c r="C425" s="64"/>
      <c r="D425" s="50"/>
      <c r="E425" s="50"/>
    </row>
    <row r="426" spans="2:14">
      <c r="B426" s="50"/>
      <c r="C426" s="64"/>
      <c r="D426" s="50"/>
      <c r="E426" s="50"/>
    </row>
    <row r="427" spans="2:14">
      <c r="B427" s="50"/>
      <c r="C427" s="64"/>
      <c r="D427" s="50"/>
      <c r="E427" s="50"/>
    </row>
    <row r="428" spans="2:14">
      <c r="B428" s="50"/>
      <c r="C428" s="64"/>
      <c r="D428" s="50"/>
      <c r="E428" s="50"/>
    </row>
    <row r="429" spans="2:14">
      <c r="B429" s="50"/>
      <c r="C429" s="64"/>
      <c r="D429" s="50"/>
      <c r="E429" s="50"/>
    </row>
    <row r="430" spans="2:14">
      <c r="B430" s="50"/>
      <c r="C430" s="64"/>
      <c r="D430" s="50"/>
      <c r="E430" s="50"/>
    </row>
    <row r="431" spans="2:14">
      <c r="B431" s="50"/>
      <c r="C431" s="64"/>
      <c r="D431" s="50"/>
      <c r="E431" s="50"/>
    </row>
    <row r="432" spans="2:14">
      <c r="B432" s="50"/>
      <c r="C432" s="64"/>
      <c r="D432" s="50"/>
      <c r="E432" s="50"/>
    </row>
    <row r="433" spans="2:5">
      <c r="B433" s="50"/>
      <c r="C433" s="64"/>
      <c r="D433" s="50"/>
      <c r="E433" s="50"/>
    </row>
    <row r="434" spans="2:5">
      <c r="B434" s="50"/>
      <c r="C434" s="64"/>
      <c r="D434" s="50"/>
      <c r="E434" s="50"/>
    </row>
    <row r="435" spans="2:5">
      <c r="B435" s="50"/>
      <c r="C435" s="64"/>
      <c r="D435" s="50"/>
      <c r="E435" s="50"/>
    </row>
    <row r="436" spans="2:5">
      <c r="B436" s="50"/>
      <c r="C436" s="64"/>
      <c r="D436" s="50"/>
      <c r="E436" s="50"/>
    </row>
    <row r="437" spans="2:5">
      <c r="B437" s="50"/>
      <c r="C437" s="64"/>
      <c r="D437" s="50"/>
      <c r="E437" s="50"/>
    </row>
    <row r="438" spans="2:5">
      <c r="B438" s="50"/>
      <c r="C438" s="64"/>
      <c r="D438" s="50"/>
      <c r="E438" s="50"/>
    </row>
    <row r="439" spans="2:5">
      <c r="B439" s="50"/>
      <c r="C439" s="64"/>
      <c r="D439" s="50"/>
      <c r="E439" s="50"/>
    </row>
    <row r="440" spans="2:5">
      <c r="B440" s="50"/>
      <c r="C440" s="64"/>
      <c r="D440" s="50"/>
      <c r="E440" s="50"/>
    </row>
    <row r="441" spans="2:5">
      <c r="B441" s="50"/>
      <c r="C441" s="64"/>
      <c r="D441" s="50"/>
      <c r="E441" s="50"/>
    </row>
    <row r="442" spans="2:5">
      <c r="B442" s="50"/>
      <c r="C442" s="64"/>
      <c r="D442" s="50"/>
      <c r="E442" s="50"/>
    </row>
    <row r="443" spans="2:5">
      <c r="B443" s="50"/>
      <c r="C443" s="64"/>
      <c r="D443" s="50"/>
      <c r="E443" s="50"/>
    </row>
    <row r="444" spans="2:5">
      <c r="B444" s="50"/>
      <c r="C444" s="64"/>
      <c r="D444" s="50"/>
      <c r="E444" s="50"/>
    </row>
    <row r="445" spans="2:5">
      <c r="B445" s="50"/>
      <c r="C445" s="64"/>
      <c r="D445" s="50"/>
      <c r="E445" s="50"/>
    </row>
    <row r="446" spans="2:5">
      <c r="B446" s="50"/>
      <c r="C446" s="64"/>
      <c r="D446" s="50"/>
      <c r="E446" s="50"/>
    </row>
  </sheetData>
  <mergeCells count="14">
    <mergeCell ref="R11:R12"/>
    <mergeCell ref="S11:T12"/>
    <mergeCell ref="X11:Y12"/>
    <mergeCell ref="E12:I12"/>
    <mergeCell ref="J12:K12"/>
    <mergeCell ref="L12:M12"/>
    <mergeCell ref="E11:P11"/>
    <mergeCell ref="U11:U12"/>
    <mergeCell ref="N12:P12"/>
    <mergeCell ref="B9:E9"/>
    <mergeCell ref="F9:G9"/>
    <mergeCell ref="B8:E8"/>
    <mergeCell ref="F8:G8"/>
    <mergeCell ref="B7:I7"/>
  </mergeCells>
  <phoneticPr fontId="36" type="noConversion"/>
  <pageMargins left="0.7" right="0.7" top="0.75" bottom="0.75" header="0.3" footer="0.3"/>
  <pageSetup orientation="portrait" r:id="rId1"/>
  <drawing r:id="rId2"/>
  <legacyDrawing r:id="rId3"/>
  <extLst>
    <ext xmlns:x14="http://schemas.microsoft.com/office/spreadsheetml/2009/9/main" uri="{CCE6A557-97BC-4b89-ADB6-D9C93CAAB3DF}">
      <x14:dataValidations xmlns:xm="http://schemas.microsoft.com/office/excel/2006/main" count="15">
        <x14:dataValidation type="list" allowBlank="1" showInputMessage="1" showErrorMessage="1" xr:uid="{97639630-ECAA-CC48-B669-DB40328780C0}">
          <x14:formula1>
            <xm:f>LOVs!$N$3:$N$5</xm:f>
          </x14:formula1>
          <xm:sqref>B9:E9</xm:sqref>
        </x14:dataValidation>
        <x14:dataValidation type="list" allowBlank="1" showInputMessage="1" showErrorMessage="1" xr:uid="{DB60ABF5-86AE-E242-A1DF-B9A107C19FD1}">
          <x14:formula1>
            <xm:f>LOVs!$O$3:$O$6</xm:f>
          </x14:formula1>
          <xm:sqref>F9:G9</xm:sqref>
        </x14:dataValidation>
        <x14:dataValidation type="list" allowBlank="1" showInputMessage="1" showErrorMessage="1" xr:uid="{B8DFEB57-7657-48E3-B4AA-3CFF925676D9}">
          <x14:formula1>
            <xm:f>LOVs!$B$3:$B$22</xm:f>
          </x14:formula1>
          <xm:sqref>H5114:H9576</xm:sqref>
        </x14:dataValidation>
        <x14:dataValidation type="list" allowBlank="1" showInputMessage="1" showErrorMessage="1" xr:uid="{E9971520-5BEE-4030-8A76-BEA26C31DF1B}">
          <x14:formula1>
            <xm:f>LOVs!$A$3:$A$18</xm:f>
          </x14:formula1>
          <xm:sqref>G661:G9576</xm:sqref>
        </x14:dataValidation>
        <x14:dataValidation type="list" allowBlank="1" showInputMessage="1" showErrorMessage="1" xr:uid="{0304CC5C-53E4-45E6-AA19-07D3D4D2B477}">
          <x14:formula1>
            <xm:f>LOVs!$F$3:$F$99</xm:f>
          </x14:formula1>
          <xm:sqref>L64:L92 K15:K1615</xm:sqref>
        </x14:dataValidation>
        <x14:dataValidation type="list" allowBlank="1" showInputMessage="1" showErrorMessage="1" xr:uid="{E16A160A-8DBE-448F-B6BA-FDBAB98F7395}">
          <x14:formula1>
            <xm:f>LOVs!$G$3:$G$39</xm:f>
          </x14:formula1>
          <xm:sqref>L93:L1615 L15:L63</xm:sqref>
        </x14:dataValidation>
        <x14:dataValidation type="list" allowBlank="1" showInputMessage="1" showErrorMessage="1" xr:uid="{296FAAE7-46C9-4A1E-AD5C-9D727BBB71FC}">
          <x14:formula1>
            <xm:f>LOVs!$I$3:$I$299</xm:f>
          </x14:formula1>
          <xm:sqref>M409:M1615</xm:sqref>
        </x14:dataValidation>
        <x14:dataValidation type="list" allowBlank="1" showInputMessage="1" showErrorMessage="1" xr:uid="{2D42869E-0762-460F-99D9-337482A47C11}">
          <x14:formula1>
            <xm:f>LOVs!$C$3:$C$4</xm:f>
          </x14:formula1>
          <xm:sqref>H392:H408 I15:I9576</xm:sqref>
        </x14:dataValidation>
        <x14:dataValidation type="list" allowBlank="1" showInputMessage="1" showErrorMessage="1" xr:uid="{8C1CBDCE-1C1B-4914-BECE-DEF04096CF96}">
          <x14:formula1>
            <xm:f>LOVs!$D$3:$D$18</xm:f>
          </x14:formula1>
          <xm:sqref>J105:J1615</xm:sqref>
        </x14:dataValidation>
        <x14:dataValidation type="list" allowBlank="1" showInputMessage="1" showErrorMessage="1" xr:uid="{67A2CD0B-B52E-4611-B40A-7431B549B67A}">
          <x14:formula1>
            <xm:f>LOVs!$B$3:$B$17</xm:f>
          </x14:formula1>
          <xm:sqref>H15:H5113</xm:sqref>
        </x14:dataValidation>
        <x14:dataValidation type="list" allowBlank="1" showInputMessage="1" showErrorMessage="1" xr:uid="{478D9024-C322-4596-9E49-B8332F967FAE}">
          <x14:formula1>
            <xm:f>LOVs!$J$3:$J$39</xm:f>
          </x14:formula1>
          <xm:sqref>V15:V9576</xm:sqref>
        </x14:dataValidation>
        <x14:dataValidation type="list" allowBlank="1" showInputMessage="1" showErrorMessage="1" xr:uid="{F1BDC943-5B6E-44FA-98F9-0E2E645B016F}">
          <x14:formula1>
            <xm:f>LOVs!$K$3:$K$31</xm:f>
          </x14:formula1>
          <xm:sqref>W15:W9576</xm:sqref>
        </x14:dataValidation>
        <x14:dataValidation type="list" allowBlank="1" showInputMessage="1" showErrorMessage="1" xr:uid="{34D9F829-36C2-409C-8BB4-7A4DA412448C}">
          <x14:formula1>
            <xm:f>LOVs!$L$3:$L$7</xm:f>
          </x14:formula1>
          <xm:sqref>X15:X9576</xm:sqref>
        </x14:dataValidation>
        <x14:dataValidation type="list" allowBlank="1" showInputMessage="1" showErrorMessage="1" xr:uid="{6CC5A78D-1D41-4902-A521-0D6CFAAE78B9}">
          <x14:formula1>
            <xm:f>LOVs!$M$3:$M$5</xm:f>
          </x14:formula1>
          <xm:sqref>Y15:Y9576</xm:sqref>
        </x14:dataValidation>
        <x14:dataValidation type="list" allowBlank="1" showInputMessage="1" showErrorMessage="1" xr:uid="{FC0C64BC-881D-4BAA-8ABD-44907E8C5C3A}">
          <x14:formula1>
            <xm:f>LOVs!$A$3:$A$17</xm:f>
          </x14:formula1>
          <xm:sqref>G15:G660</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F25DC9C-9043-49AB-97D0-22A7DB3B74D8}">
  <dimension ref="A1:C27"/>
  <sheetViews>
    <sheetView workbookViewId="0">
      <selection activeCell="D11" sqref="D11"/>
    </sheetView>
  </sheetViews>
  <sheetFormatPr defaultRowHeight="15"/>
  <cols>
    <col min="1" max="1" width="16.28515625" customWidth="1"/>
    <col min="2" max="2" width="23.140625" customWidth="1"/>
    <col min="3" max="3" width="80.28515625" style="13" bestFit="1" customWidth="1"/>
  </cols>
  <sheetData>
    <row r="1" spans="1:3" ht="21.75" thickBot="1">
      <c r="A1" s="150" t="s">
        <v>1606</v>
      </c>
      <c r="B1" s="151"/>
      <c r="C1" s="152"/>
    </row>
    <row r="2" spans="1:3" ht="30.75" thickBot="1">
      <c r="A2" s="58" t="s">
        <v>1607</v>
      </c>
      <c r="B2" s="58" t="s">
        <v>1608</v>
      </c>
      <c r="C2" s="58" t="s">
        <v>1609</v>
      </c>
    </row>
    <row r="3" spans="1:3" ht="30">
      <c r="A3" s="57" t="s">
        <v>1610</v>
      </c>
      <c r="B3" s="59" t="s">
        <v>1611</v>
      </c>
      <c r="C3" s="60" t="s">
        <v>1612</v>
      </c>
    </row>
    <row r="4" spans="1:3" ht="6.75" customHeight="1">
      <c r="A4" s="153"/>
      <c r="B4" s="154"/>
      <c r="C4" s="155"/>
    </row>
    <row r="5" spans="1:3" ht="23.25" customHeight="1">
      <c r="A5" s="122" t="s">
        <v>1613</v>
      </c>
      <c r="B5" s="51" t="s">
        <v>1613</v>
      </c>
      <c r="C5" s="53" t="s">
        <v>1614</v>
      </c>
    </row>
    <row r="6" spans="1:3" ht="6.75" customHeight="1">
      <c r="A6" s="153"/>
      <c r="B6" s="154"/>
      <c r="C6" s="155"/>
    </row>
    <row r="7" spans="1:3" ht="23.25" customHeight="1">
      <c r="A7" s="122" t="s">
        <v>1615</v>
      </c>
      <c r="B7" s="51" t="s">
        <v>1615</v>
      </c>
      <c r="C7" s="53"/>
    </row>
    <row r="8" spans="1:3" ht="6.75" customHeight="1">
      <c r="A8" s="153"/>
      <c r="B8" s="154"/>
      <c r="C8" s="155"/>
    </row>
    <row r="9" spans="1:3" ht="23.25" customHeight="1">
      <c r="A9" s="122" t="s">
        <v>1616</v>
      </c>
      <c r="B9" s="51" t="s">
        <v>88</v>
      </c>
      <c r="C9" s="53" t="s">
        <v>1617</v>
      </c>
    </row>
    <row r="10" spans="1:3" ht="6.75" customHeight="1">
      <c r="A10" s="153"/>
      <c r="B10" s="154"/>
      <c r="C10" s="155"/>
    </row>
    <row r="11" spans="1:3">
      <c r="A11" s="156" t="s">
        <v>1618</v>
      </c>
      <c r="B11" s="51" t="s">
        <v>102</v>
      </c>
      <c r="C11" s="53" t="s">
        <v>1619</v>
      </c>
    </row>
    <row r="12" spans="1:3">
      <c r="A12" s="156"/>
      <c r="B12" s="51" t="s">
        <v>149</v>
      </c>
      <c r="C12" s="53" t="s">
        <v>1620</v>
      </c>
    </row>
    <row r="13" spans="1:3">
      <c r="A13" s="156"/>
      <c r="B13" s="51" t="s">
        <v>1621</v>
      </c>
      <c r="C13" s="53" t="s">
        <v>1622</v>
      </c>
    </row>
    <row r="14" spans="1:3" ht="6.75" customHeight="1">
      <c r="A14" s="153"/>
      <c r="B14" s="154"/>
      <c r="C14" s="155"/>
    </row>
    <row r="15" spans="1:3" ht="23.25" customHeight="1">
      <c r="A15" s="52" t="s">
        <v>1623</v>
      </c>
      <c r="B15" s="51" t="s">
        <v>259</v>
      </c>
      <c r="C15" s="53" t="s">
        <v>1624</v>
      </c>
    </row>
    <row r="16" spans="1:3" ht="6.75" customHeight="1">
      <c r="A16" s="153"/>
      <c r="B16" s="154"/>
      <c r="C16" s="155"/>
    </row>
    <row r="17" spans="1:3" ht="23.25" customHeight="1">
      <c r="A17" s="52" t="s">
        <v>1625</v>
      </c>
      <c r="B17" s="51" t="s">
        <v>187</v>
      </c>
      <c r="C17" s="53" t="s">
        <v>1626</v>
      </c>
    </row>
    <row r="18" spans="1:3" ht="6.75" customHeight="1">
      <c r="A18" s="153"/>
      <c r="B18" s="154"/>
      <c r="C18" s="155"/>
    </row>
    <row r="19" spans="1:3">
      <c r="A19" s="156" t="s">
        <v>1627</v>
      </c>
      <c r="B19" s="51" t="s">
        <v>213</v>
      </c>
      <c r="C19" s="53" t="s">
        <v>1628</v>
      </c>
    </row>
    <row r="20" spans="1:3">
      <c r="A20" s="156"/>
      <c r="B20" s="51" t="s">
        <v>259</v>
      </c>
      <c r="C20" s="53" t="s">
        <v>1624</v>
      </c>
    </row>
    <row r="21" spans="1:3">
      <c r="A21" s="156"/>
      <c r="B21" s="51" t="s">
        <v>1529</v>
      </c>
      <c r="C21" s="53" t="s">
        <v>1629</v>
      </c>
    </row>
    <row r="22" spans="1:3" ht="6.75" customHeight="1">
      <c r="A22" s="153"/>
      <c r="B22" s="154"/>
      <c r="C22" s="155"/>
    </row>
    <row r="23" spans="1:3" ht="23.25" customHeight="1" thickBot="1">
      <c r="A23" s="54" t="s">
        <v>1630</v>
      </c>
      <c r="B23" s="55" t="s">
        <v>1630</v>
      </c>
      <c r="C23" s="56"/>
    </row>
    <row r="26" spans="1:3">
      <c r="A26" s="157" t="s">
        <v>1631</v>
      </c>
      <c r="B26" s="157"/>
      <c r="C26" s="157"/>
    </row>
    <row r="27" spans="1:3">
      <c r="A27" s="157"/>
      <c r="B27" s="157"/>
      <c r="C27" s="157"/>
    </row>
  </sheetData>
  <mergeCells count="12">
    <mergeCell ref="A22:C22"/>
    <mergeCell ref="A26:C27"/>
    <mergeCell ref="A4:C4"/>
    <mergeCell ref="A6:C6"/>
    <mergeCell ref="A8:C8"/>
    <mergeCell ref="A10:C10"/>
    <mergeCell ref="A11:A13"/>
    <mergeCell ref="A1:C1"/>
    <mergeCell ref="A14:C14"/>
    <mergeCell ref="A16:C16"/>
    <mergeCell ref="A18:C18"/>
    <mergeCell ref="A19:A21"/>
  </mergeCells>
  <pageMargins left="0.7" right="0.7" top="0.75" bottom="0.75" header="0.3" footer="0.3"/>
  <pageSetup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93AF86E-36F8-45B0-B570-92D02F185F3D}">
  <sheetPr codeName="Sheet3"/>
  <dimension ref="A1:O299"/>
  <sheetViews>
    <sheetView topLeftCell="J1" workbookViewId="0">
      <selection activeCell="J8" sqref="J8"/>
    </sheetView>
  </sheetViews>
  <sheetFormatPr defaultColWidth="8.85546875" defaultRowHeight="15"/>
  <cols>
    <col min="1" max="1" width="14.140625" bestFit="1" customWidth="1"/>
    <col min="2" max="2" width="27" bestFit="1" customWidth="1"/>
    <col min="3" max="3" width="14.140625" customWidth="1"/>
    <col min="4" max="4" width="26.42578125" bestFit="1" customWidth="1"/>
    <col min="5" max="5" width="27.42578125" customWidth="1"/>
    <col min="6" max="7" width="29.140625" customWidth="1"/>
    <col min="8" max="8" width="29.7109375" customWidth="1"/>
    <col min="9" max="9" width="31.42578125" customWidth="1"/>
    <col min="10" max="11" width="60.28515625" style="13" customWidth="1"/>
    <col min="12" max="12" width="13.85546875" customWidth="1"/>
    <col min="13" max="13" width="11.42578125" customWidth="1"/>
    <col min="14" max="14" width="28.7109375" customWidth="1"/>
    <col min="15" max="15" width="29.7109375" customWidth="1"/>
  </cols>
  <sheetData>
    <row r="1" spans="1:15">
      <c r="D1" s="158" t="s">
        <v>1632</v>
      </c>
      <c r="E1" s="159"/>
      <c r="F1" s="160"/>
      <c r="G1" s="161" t="s">
        <v>1633</v>
      </c>
      <c r="H1" s="162"/>
      <c r="I1" s="162"/>
    </row>
    <row r="2" spans="1:15" s="14" customFormat="1" ht="30">
      <c r="A2" s="14" t="s">
        <v>1634</v>
      </c>
      <c r="B2" s="14" t="s">
        <v>1635</v>
      </c>
      <c r="C2" s="14" t="s">
        <v>45</v>
      </c>
      <c r="D2" s="15" t="s">
        <v>1636</v>
      </c>
      <c r="E2" s="16" t="s">
        <v>1637</v>
      </c>
      <c r="F2" s="16" t="s">
        <v>1638</v>
      </c>
      <c r="G2" s="17" t="s">
        <v>1636</v>
      </c>
      <c r="H2" s="18" t="s">
        <v>1637</v>
      </c>
      <c r="I2" s="18" t="s">
        <v>1638</v>
      </c>
      <c r="J2" s="19" t="s">
        <v>1639</v>
      </c>
      <c r="K2" s="19" t="s">
        <v>1640</v>
      </c>
      <c r="L2" s="19" t="s">
        <v>1641</v>
      </c>
      <c r="M2" s="19" t="s">
        <v>1642</v>
      </c>
      <c r="N2" s="31" t="s">
        <v>1643</v>
      </c>
      <c r="O2" s="31" t="s">
        <v>1644</v>
      </c>
    </row>
    <row r="3" spans="1:15" ht="45">
      <c r="A3" t="s">
        <v>187</v>
      </c>
      <c r="B3" s="13" t="s">
        <v>1645</v>
      </c>
      <c r="C3" t="s">
        <v>1646</v>
      </c>
      <c r="D3" s="20" t="s">
        <v>650</v>
      </c>
      <c r="E3" s="20" t="s">
        <v>650</v>
      </c>
      <c r="F3" s="20" t="s">
        <v>1647</v>
      </c>
      <c r="G3" s="20" t="s">
        <v>1648</v>
      </c>
      <c r="H3" s="20" t="s">
        <v>1648</v>
      </c>
      <c r="I3" s="20" t="s">
        <v>1649</v>
      </c>
      <c r="J3" s="13" t="s">
        <v>215</v>
      </c>
      <c r="K3" t="s">
        <v>1650</v>
      </c>
      <c r="L3" t="s">
        <v>1651</v>
      </c>
      <c r="M3" s="13" t="s">
        <v>1652</v>
      </c>
      <c r="N3" s="32" t="s">
        <v>1653</v>
      </c>
      <c r="O3" s="32" t="s">
        <v>1654</v>
      </c>
    </row>
    <row r="4" spans="1:15">
      <c r="A4" t="s">
        <v>149</v>
      </c>
      <c r="B4" t="s">
        <v>89</v>
      </c>
      <c r="C4" t="s">
        <v>90</v>
      </c>
      <c r="D4" s="20" t="s">
        <v>91</v>
      </c>
      <c r="E4" s="20" t="s">
        <v>650</v>
      </c>
      <c r="F4" s="20" t="s">
        <v>1655</v>
      </c>
      <c r="G4" s="20" t="s">
        <v>1656</v>
      </c>
      <c r="H4" s="20" t="s">
        <v>1648</v>
      </c>
      <c r="I4" s="20" t="s">
        <v>1657</v>
      </c>
      <c r="J4" s="13" t="s">
        <v>1658</v>
      </c>
      <c r="K4" t="s">
        <v>1659</v>
      </c>
      <c r="L4" t="s">
        <v>1660</v>
      </c>
      <c r="M4" t="s">
        <v>1613</v>
      </c>
      <c r="N4" s="32" t="s">
        <v>26</v>
      </c>
      <c r="O4" s="32" t="s">
        <v>20</v>
      </c>
    </row>
    <row r="5" spans="1:15">
      <c r="A5" t="s">
        <v>1613</v>
      </c>
      <c r="B5" t="s">
        <v>1661</v>
      </c>
      <c r="D5" s="20" t="s">
        <v>198</v>
      </c>
      <c r="E5" s="20" t="s">
        <v>650</v>
      </c>
      <c r="F5" s="20" t="s">
        <v>1662</v>
      </c>
      <c r="G5" s="20" t="s">
        <v>1663</v>
      </c>
      <c r="H5" s="20" t="s">
        <v>1648</v>
      </c>
      <c r="I5" s="20" t="s">
        <v>1664</v>
      </c>
      <c r="J5" s="13" t="s">
        <v>1650</v>
      </c>
      <c r="K5" t="s">
        <v>1665</v>
      </c>
      <c r="L5" t="s">
        <v>1666</v>
      </c>
      <c r="M5" t="s">
        <v>1667</v>
      </c>
      <c r="N5" s="32" t="s">
        <v>25</v>
      </c>
      <c r="O5" s="32" t="s">
        <v>21</v>
      </c>
    </row>
    <row r="6" spans="1:15">
      <c r="A6" t="s">
        <v>1615</v>
      </c>
      <c r="B6" s="50" t="s">
        <v>1668</v>
      </c>
      <c r="D6" s="20" t="s">
        <v>1521</v>
      </c>
      <c r="E6" s="20" t="s">
        <v>650</v>
      </c>
      <c r="F6" s="20" t="s">
        <v>744</v>
      </c>
      <c r="G6" s="20" t="s">
        <v>1669</v>
      </c>
      <c r="H6" s="20" t="s">
        <v>1648</v>
      </c>
      <c r="I6" s="20" t="s">
        <v>1670</v>
      </c>
      <c r="J6" s="13" t="s">
        <v>1659</v>
      </c>
      <c r="K6" t="s">
        <v>1671</v>
      </c>
      <c r="L6" t="s">
        <v>1672</v>
      </c>
      <c r="O6" s="32" t="s">
        <v>1673</v>
      </c>
    </row>
    <row r="7" spans="1:15">
      <c r="A7" t="s">
        <v>97</v>
      </c>
      <c r="B7" s="50" t="s">
        <v>1674</v>
      </c>
      <c r="D7" s="20" t="s">
        <v>1675</v>
      </c>
      <c r="E7" s="20" t="s">
        <v>650</v>
      </c>
      <c r="F7" s="20" t="s">
        <v>651</v>
      </c>
      <c r="G7" s="20" t="s">
        <v>1676</v>
      </c>
      <c r="H7" s="20" t="s">
        <v>1648</v>
      </c>
      <c r="I7" s="20" t="s">
        <v>1677</v>
      </c>
      <c r="J7" s="13" t="s">
        <v>1678</v>
      </c>
      <c r="K7" t="s">
        <v>1679</v>
      </c>
      <c r="L7" t="s">
        <v>1680</v>
      </c>
      <c r="O7" s="26"/>
    </row>
    <row r="8" spans="1:15">
      <c r="A8" t="s">
        <v>1681</v>
      </c>
      <c r="B8" s="50" t="s">
        <v>1682</v>
      </c>
      <c r="D8" s="20" t="s">
        <v>204</v>
      </c>
      <c r="E8" s="20" t="s">
        <v>650</v>
      </c>
      <c r="F8" s="20" t="s">
        <v>1683</v>
      </c>
      <c r="G8" s="20" t="s">
        <v>1684</v>
      </c>
      <c r="H8" s="20" t="s">
        <v>1648</v>
      </c>
      <c r="I8" s="20" t="s">
        <v>1685</v>
      </c>
      <c r="J8" s="13" t="s">
        <v>1671</v>
      </c>
      <c r="K8" t="s">
        <v>1686</v>
      </c>
      <c r="O8" s="26"/>
    </row>
    <row r="9" spans="1:15">
      <c r="A9" t="s">
        <v>1536</v>
      </c>
      <c r="B9" s="50" t="s">
        <v>1687</v>
      </c>
      <c r="D9" s="20" t="s">
        <v>1688</v>
      </c>
      <c r="E9" s="20" t="s">
        <v>650</v>
      </c>
      <c r="F9" s="20" t="s">
        <v>1181</v>
      </c>
      <c r="G9" s="20" t="s">
        <v>1689</v>
      </c>
      <c r="H9" s="20" t="s">
        <v>1648</v>
      </c>
      <c r="I9" s="20" t="s">
        <v>1690</v>
      </c>
      <c r="J9" s="13" t="s">
        <v>1691</v>
      </c>
      <c r="K9" t="s">
        <v>1692</v>
      </c>
      <c r="O9" s="26"/>
    </row>
    <row r="10" spans="1:15">
      <c r="A10" t="s">
        <v>102</v>
      </c>
      <c r="B10" s="50" t="s">
        <v>1693</v>
      </c>
      <c r="D10" s="20" t="s">
        <v>1694</v>
      </c>
      <c r="E10" s="20" t="s">
        <v>650</v>
      </c>
      <c r="F10" s="20" t="s">
        <v>1695</v>
      </c>
      <c r="G10" s="20" t="s">
        <v>1696</v>
      </c>
      <c r="H10" s="20" t="s">
        <v>1648</v>
      </c>
      <c r="I10" s="20" t="s">
        <v>1697</v>
      </c>
      <c r="J10" s="13" t="s">
        <v>1698</v>
      </c>
      <c r="K10" t="s">
        <v>1699</v>
      </c>
      <c r="O10" s="26"/>
    </row>
    <row r="11" spans="1:15">
      <c r="A11" t="s">
        <v>1700</v>
      </c>
      <c r="B11" s="50" t="s">
        <v>1701</v>
      </c>
      <c r="D11" s="20" t="s">
        <v>188</v>
      </c>
      <c r="E11" s="20" t="s">
        <v>650</v>
      </c>
      <c r="F11" s="20" t="s">
        <v>1702</v>
      </c>
      <c r="G11" s="20" t="s">
        <v>1703</v>
      </c>
      <c r="H11" s="20" t="s">
        <v>1648</v>
      </c>
      <c r="I11" s="20" t="s">
        <v>1704</v>
      </c>
      <c r="J11" s="13" t="s">
        <v>1699</v>
      </c>
      <c r="K11" t="s">
        <v>1705</v>
      </c>
    </row>
    <row r="12" spans="1:15">
      <c r="A12" t="s">
        <v>1529</v>
      </c>
      <c r="B12" s="50" t="s">
        <v>1706</v>
      </c>
      <c r="D12" s="20" t="s">
        <v>1707</v>
      </c>
      <c r="E12" s="20" t="s">
        <v>650</v>
      </c>
      <c r="F12" s="20" t="s">
        <v>1708</v>
      </c>
      <c r="G12" s="20" t="s">
        <v>1709</v>
      </c>
      <c r="H12" s="20" t="s">
        <v>1648</v>
      </c>
      <c r="I12" s="20" t="s">
        <v>1710</v>
      </c>
      <c r="J12" s="13" t="s">
        <v>1711</v>
      </c>
      <c r="K12" t="s">
        <v>1712</v>
      </c>
    </row>
    <row r="13" spans="1:15">
      <c r="A13" t="s">
        <v>88</v>
      </c>
      <c r="B13" s="50" t="s">
        <v>1713</v>
      </c>
      <c r="D13" s="20" t="s">
        <v>1714</v>
      </c>
      <c r="E13" s="20" t="s">
        <v>650</v>
      </c>
      <c r="F13" s="20" t="s">
        <v>1715</v>
      </c>
      <c r="G13" s="20" t="s">
        <v>1716</v>
      </c>
      <c r="H13" s="20" t="s">
        <v>1648</v>
      </c>
      <c r="I13" s="20" t="s">
        <v>1717</v>
      </c>
      <c r="J13" s="13" t="s">
        <v>1718</v>
      </c>
      <c r="K13" t="s">
        <v>1719</v>
      </c>
    </row>
    <row r="14" spans="1:15">
      <c r="A14" t="s">
        <v>213</v>
      </c>
      <c r="B14" s="50" t="s">
        <v>1720</v>
      </c>
      <c r="D14" s="20" t="s">
        <v>150</v>
      </c>
      <c r="E14" s="20" t="s">
        <v>91</v>
      </c>
      <c r="F14" s="20" t="s">
        <v>1567</v>
      </c>
      <c r="G14" s="20" t="s">
        <v>1721</v>
      </c>
      <c r="H14" s="20" t="s">
        <v>1648</v>
      </c>
      <c r="I14" s="20" t="s">
        <v>1722</v>
      </c>
      <c r="J14" s="13" t="s">
        <v>1723</v>
      </c>
      <c r="K14" t="s">
        <v>1724</v>
      </c>
    </row>
    <row r="15" spans="1:15">
      <c r="A15" t="s">
        <v>259</v>
      </c>
      <c r="B15" s="50" t="s">
        <v>1725</v>
      </c>
      <c r="D15" s="20" t="s">
        <v>1726</v>
      </c>
      <c r="E15" s="20" t="s">
        <v>91</v>
      </c>
      <c r="F15" s="20" t="s">
        <v>1727</v>
      </c>
      <c r="G15" s="20" t="s">
        <v>1728</v>
      </c>
      <c r="H15" s="20" t="s">
        <v>1648</v>
      </c>
      <c r="I15" s="20" t="s">
        <v>1729</v>
      </c>
      <c r="J15" s="13" t="s">
        <v>1730</v>
      </c>
      <c r="K15" t="s">
        <v>1731</v>
      </c>
    </row>
    <row r="16" spans="1:15">
      <c r="A16" t="s">
        <v>1630</v>
      </c>
      <c r="B16" s="50" t="s">
        <v>1732</v>
      </c>
      <c r="D16" s="20" t="s">
        <v>1733</v>
      </c>
      <c r="E16" s="20" t="s">
        <v>91</v>
      </c>
      <c r="F16" s="20" t="s">
        <v>132</v>
      </c>
      <c r="G16" s="20" t="s">
        <v>1734</v>
      </c>
      <c r="H16" s="20" t="s">
        <v>1648</v>
      </c>
      <c r="I16" s="20" t="s">
        <v>1735</v>
      </c>
      <c r="J16" s="13" t="s">
        <v>1736</v>
      </c>
      <c r="K16" t="s">
        <v>1737</v>
      </c>
    </row>
    <row r="17" spans="1:15" ht="15.75" thickBot="1">
      <c r="A17" t="s">
        <v>1621</v>
      </c>
      <c r="B17" s="50" t="s">
        <v>1738</v>
      </c>
      <c r="D17" s="20" t="s">
        <v>1739</v>
      </c>
      <c r="E17" s="20" t="s">
        <v>91</v>
      </c>
      <c r="F17" s="20" t="s">
        <v>1740</v>
      </c>
      <c r="G17" s="20" t="s">
        <v>1741</v>
      </c>
      <c r="H17" s="20" t="s">
        <v>1648</v>
      </c>
      <c r="I17" s="20" t="s">
        <v>1742</v>
      </c>
      <c r="J17" s="13" t="s">
        <v>1743</v>
      </c>
      <c r="K17" t="s">
        <v>1744</v>
      </c>
    </row>
    <row r="18" spans="1:15">
      <c r="D18" s="20" t="s">
        <v>1745</v>
      </c>
      <c r="E18" s="20" t="s">
        <v>91</v>
      </c>
      <c r="F18" s="20" t="s">
        <v>1746</v>
      </c>
      <c r="G18" s="20" t="s">
        <v>1747</v>
      </c>
      <c r="H18" s="20" t="s">
        <v>1648</v>
      </c>
      <c r="I18" s="20" t="s">
        <v>1748</v>
      </c>
      <c r="J18" s="13" t="s">
        <v>1749</v>
      </c>
      <c r="K18" t="s">
        <v>1750</v>
      </c>
      <c r="N18" s="49" t="s">
        <v>1751</v>
      </c>
      <c r="O18" s="46"/>
    </row>
    <row r="19" spans="1:15" ht="30.75" thickBot="1">
      <c r="E19" s="20" t="s">
        <v>91</v>
      </c>
      <c r="F19" s="20" t="s">
        <v>1752</v>
      </c>
      <c r="G19" s="20" t="s">
        <v>1753</v>
      </c>
      <c r="H19" s="20" t="s">
        <v>1648</v>
      </c>
      <c r="I19" s="20" t="s">
        <v>1754</v>
      </c>
      <c r="J19" s="13" t="s">
        <v>1755</v>
      </c>
      <c r="K19" t="s">
        <v>1756</v>
      </c>
      <c r="N19" s="47" t="s">
        <v>1673</v>
      </c>
      <c r="O19" s="48" t="s">
        <v>1757</v>
      </c>
    </row>
    <row r="20" spans="1:15">
      <c r="E20" s="20" t="s">
        <v>91</v>
      </c>
      <c r="F20" s="20" t="s">
        <v>1262</v>
      </c>
      <c r="G20" s="20" t="s">
        <v>1758</v>
      </c>
      <c r="H20" s="20" t="s">
        <v>1648</v>
      </c>
      <c r="I20" s="20" t="s">
        <v>1759</v>
      </c>
      <c r="J20" s="13" t="s">
        <v>1760</v>
      </c>
      <c r="K20" t="s">
        <v>1761</v>
      </c>
    </row>
    <row r="21" spans="1:15">
      <c r="E21" s="20" t="s">
        <v>91</v>
      </c>
      <c r="F21" s="20" t="s">
        <v>92</v>
      </c>
      <c r="G21" s="20" t="s">
        <v>1762</v>
      </c>
      <c r="H21" s="20" t="s">
        <v>1648</v>
      </c>
      <c r="I21" s="20" t="s">
        <v>1763</v>
      </c>
      <c r="J21" s="13" t="s">
        <v>1764</v>
      </c>
      <c r="K21" t="s">
        <v>1765</v>
      </c>
    </row>
    <row r="22" spans="1:15">
      <c r="E22" s="20" t="s">
        <v>91</v>
      </c>
      <c r="F22" s="20" t="s">
        <v>1766</v>
      </c>
      <c r="G22" s="20" t="s">
        <v>1767</v>
      </c>
      <c r="H22" s="20" t="s">
        <v>1648</v>
      </c>
      <c r="I22" s="20" t="s">
        <v>1768</v>
      </c>
      <c r="J22" s="13" t="s">
        <v>1769</v>
      </c>
      <c r="K22" t="s">
        <v>1770</v>
      </c>
    </row>
    <row r="23" spans="1:15" ht="30">
      <c r="E23" s="20" t="s">
        <v>91</v>
      </c>
      <c r="F23" s="20" t="s">
        <v>850</v>
      </c>
      <c r="G23" s="20" t="s">
        <v>1771</v>
      </c>
      <c r="H23" s="20" t="s">
        <v>1648</v>
      </c>
      <c r="I23" s="20" t="s">
        <v>1772</v>
      </c>
      <c r="J23" s="13" t="s">
        <v>1773</v>
      </c>
      <c r="K23" t="s">
        <v>1774</v>
      </c>
    </row>
    <row r="24" spans="1:15" ht="30">
      <c r="E24" s="20" t="s">
        <v>91</v>
      </c>
      <c r="F24" s="20" t="s">
        <v>107</v>
      </c>
      <c r="G24" s="20" t="s">
        <v>1775</v>
      </c>
      <c r="H24" s="20" t="s">
        <v>1648</v>
      </c>
      <c r="I24" s="20" t="s">
        <v>1776</v>
      </c>
      <c r="J24" s="13" t="s">
        <v>1777</v>
      </c>
      <c r="K24" t="s">
        <v>1698</v>
      </c>
    </row>
    <row r="25" spans="1:15" ht="30">
      <c r="E25" s="20" t="s">
        <v>91</v>
      </c>
      <c r="F25" s="20" t="s">
        <v>465</v>
      </c>
      <c r="G25" s="20" t="s">
        <v>1778</v>
      </c>
      <c r="H25" s="20" t="s">
        <v>1648</v>
      </c>
      <c r="I25" s="20" t="s">
        <v>1779</v>
      </c>
      <c r="J25" s="13" t="s">
        <v>1780</v>
      </c>
      <c r="K25" t="s">
        <v>1781</v>
      </c>
    </row>
    <row r="26" spans="1:15" ht="30">
      <c r="E26" s="20" t="s">
        <v>91</v>
      </c>
      <c r="F26" s="20" t="s">
        <v>1283</v>
      </c>
      <c r="G26" s="20" t="s">
        <v>1782</v>
      </c>
      <c r="H26" s="20" t="s">
        <v>1648</v>
      </c>
      <c r="I26" s="20" t="s">
        <v>1783</v>
      </c>
      <c r="J26" s="13" t="s">
        <v>1784</v>
      </c>
      <c r="K26" t="s">
        <v>1785</v>
      </c>
    </row>
    <row r="27" spans="1:15" ht="30">
      <c r="E27" s="20" t="s">
        <v>91</v>
      </c>
      <c r="F27" s="20" t="s">
        <v>1786</v>
      </c>
      <c r="G27" s="20" t="s">
        <v>1787</v>
      </c>
      <c r="H27" s="20" t="s">
        <v>1648</v>
      </c>
      <c r="I27" s="20" t="s">
        <v>1788</v>
      </c>
      <c r="J27" s="13" t="s">
        <v>1789</v>
      </c>
      <c r="K27" t="s">
        <v>1790</v>
      </c>
    </row>
    <row r="28" spans="1:15">
      <c r="E28" s="20" t="s">
        <v>198</v>
      </c>
      <c r="F28" s="20" t="s">
        <v>260</v>
      </c>
      <c r="G28" s="20" t="s">
        <v>1791</v>
      </c>
      <c r="H28" s="20" t="s">
        <v>1648</v>
      </c>
      <c r="I28" s="20" t="s">
        <v>1792</v>
      </c>
      <c r="J28" s="13" t="s">
        <v>1665</v>
      </c>
      <c r="K28" t="s">
        <v>1793</v>
      </c>
    </row>
    <row r="29" spans="1:15">
      <c r="E29" s="20" t="s">
        <v>198</v>
      </c>
      <c r="F29" s="20" t="s">
        <v>189</v>
      </c>
      <c r="G29" s="20" t="s">
        <v>1794</v>
      </c>
      <c r="H29" s="20" t="s">
        <v>1648</v>
      </c>
      <c r="I29" s="20" t="s">
        <v>1795</v>
      </c>
      <c r="J29" s="13" t="s">
        <v>1796</v>
      </c>
      <c r="K29" t="s">
        <v>1797</v>
      </c>
    </row>
    <row r="30" spans="1:15">
      <c r="E30" s="20" t="s">
        <v>198</v>
      </c>
      <c r="F30" s="20" t="s">
        <v>1798</v>
      </c>
      <c r="G30" s="20" t="s">
        <v>1799</v>
      </c>
      <c r="H30" s="20" t="s">
        <v>1648</v>
      </c>
      <c r="I30" s="20" t="s">
        <v>1800</v>
      </c>
      <c r="J30" s="13" t="s">
        <v>1801</v>
      </c>
      <c r="K30" t="s">
        <v>1802</v>
      </c>
    </row>
    <row r="31" spans="1:15">
      <c r="E31" s="20" t="s">
        <v>198</v>
      </c>
      <c r="F31" s="20" t="s">
        <v>199</v>
      </c>
      <c r="G31" s="20" t="s">
        <v>1803</v>
      </c>
      <c r="H31" s="20" t="s">
        <v>1648</v>
      </c>
      <c r="I31" s="20" t="s">
        <v>1804</v>
      </c>
      <c r="J31" s="13" t="s">
        <v>1805</v>
      </c>
      <c r="K31" t="s">
        <v>1806</v>
      </c>
    </row>
    <row r="32" spans="1:15">
      <c r="E32" s="20" t="s">
        <v>198</v>
      </c>
      <c r="F32" s="20" t="s">
        <v>1807</v>
      </c>
      <c r="G32" s="20" t="s">
        <v>1808</v>
      </c>
      <c r="H32" s="20" t="s">
        <v>1648</v>
      </c>
      <c r="I32" s="20" t="s">
        <v>1809</v>
      </c>
      <c r="J32" s="13" t="s">
        <v>1538</v>
      </c>
    </row>
    <row r="33" spans="5:10">
      <c r="E33" s="20" t="s">
        <v>198</v>
      </c>
      <c r="F33" s="20" t="s">
        <v>1810</v>
      </c>
      <c r="G33" s="20" t="s">
        <v>1811</v>
      </c>
      <c r="H33" s="20" t="s">
        <v>1648</v>
      </c>
      <c r="I33" s="20" t="s">
        <v>1812</v>
      </c>
      <c r="J33" s="13" t="s">
        <v>1813</v>
      </c>
    </row>
    <row r="34" spans="5:10">
      <c r="E34" s="20" t="s">
        <v>198</v>
      </c>
      <c r="F34" s="20" t="s">
        <v>1814</v>
      </c>
      <c r="G34" s="20" t="s">
        <v>1739</v>
      </c>
      <c r="H34" s="20" t="s">
        <v>1648</v>
      </c>
      <c r="I34" s="20" t="s">
        <v>1815</v>
      </c>
      <c r="J34" s="13" t="s">
        <v>1816</v>
      </c>
    </row>
    <row r="35" spans="5:10">
      <c r="E35" s="20" t="s">
        <v>198</v>
      </c>
      <c r="F35" s="20" t="s">
        <v>1817</v>
      </c>
      <c r="G35" s="20" t="s">
        <v>1800</v>
      </c>
      <c r="H35" s="20" t="s">
        <v>1648</v>
      </c>
      <c r="I35" s="20" t="s">
        <v>1818</v>
      </c>
      <c r="J35" s="13" t="s">
        <v>1819</v>
      </c>
    </row>
    <row r="36" spans="5:10">
      <c r="E36" s="20" t="s">
        <v>198</v>
      </c>
      <c r="F36" s="20" t="s">
        <v>821</v>
      </c>
      <c r="G36" s="20" t="s">
        <v>1820</v>
      </c>
      <c r="H36" s="20" t="s">
        <v>1656</v>
      </c>
      <c r="I36" s="20" t="s">
        <v>1821</v>
      </c>
      <c r="J36" s="13" t="s">
        <v>1822</v>
      </c>
    </row>
    <row r="37" spans="5:10">
      <c r="E37" s="20" t="s">
        <v>1521</v>
      </c>
      <c r="F37" s="20" t="s">
        <v>1823</v>
      </c>
      <c r="G37" s="20" t="s">
        <v>1824</v>
      </c>
      <c r="H37" s="20" t="s">
        <v>1656</v>
      </c>
      <c r="I37" s="20" t="s">
        <v>1825</v>
      </c>
      <c r="J37" s="13" t="s">
        <v>1826</v>
      </c>
    </row>
    <row r="38" spans="5:10">
      <c r="E38" s="20" t="s">
        <v>1521</v>
      </c>
      <c r="F38" s="20" t="s">
        <v>1827</v>
      </c>
      <c r="G38" s="20" t="s">
        <v>1828</v>
      </c>
      <c r="H38" s="20" t="s">
        <v>1663</v>
      </c>
      <c r="I38" s="20" t="s">
        <v>1829</v>
      </c>
      <c r="J38" s="13" t="s">
        <v>1830</v>
      </c>
    </row>
    <row r="39" spans="5:10">
      <c r="E39" s="20" t="s">
        <v>1521</v>
      </c>
      <c r="F39" s="20" t="s">
        <v>1522</v>
      </c>
      <c r="G39" s="20" t="s">
        <v>1831</v>
      </c>
      <c r="H39" s="20" t="s">
        <v>1669</v>
      </c>
      <c r="I39" s="20" t="s">
        <v>1832</v>
      </c>
    </row>
    <row r="40" spans="5:10">
      <c r="E40" s="20" t="s">
        <v>1521</v>
      </c>
      <c r="F40" s="20" t="s">
        <v>1546</v>
      </c>
      <c r="G40" s="20"/>
      <c r="H40" s="20" t="s">
        <v>1669</v>
      </c>
      <c r="I40" s="20" t="s">
        <v>1833</v>
      </c>
    </row>
    <row r="41" spans="5:10">
      <c r="E41" s="20" t="s">
        <v>1521</v>
      </c>
      <c r="F41" s="20" t="s">
        <v>1834</v>
      </c>
      <c r="G41" s="20"/>
      <c r="H41" s="20" t="s">
        <v>1669</v>
      </c>
      <c r="I41" s="20" t="s">
        <v>1721</v>
      </c>
    </row>
    <row r="42" spans="5:10">
      <c r="E42" s="20" t="s">
        <v>1675</v>
      </c>
      <c r="F42" s="20" t="s">
        <v>1835</v>
      </c>
      <c r="G42" s="20"/>
      <c r="H42" s="20" t="s">
        <v>1676</v>
      </c>
      <c r="I42" s="20" t="s">
        <v>1836</v>
      </c>
    </row>
    <row r="43" spans="5:10">
      <c r="E43" s="20" t="s">
        <v>1675</v>
      </c>
      <c r="F43" s="20" t="s">
        <v>1837</v>
      </c>
      <c r="G43" s="20"/>
      <c r="H43" s="20" t="s">
        <v>1676</v>
      </c>
      <c r="I43" s="20" t="s">
        <v>1838</v>
      </c>
    </row>
    <row r="44" spans="5:10">
      <c r="E44" s="20" t="s">
        <v>204</v>
      </c>
      <c r="F44" s="20" t="s">
        <v>1839</v>
      </c>
      <c r="G44" s="20"/>
      <c r="H44" s="20" t="s">
        <v>1676</v>
      </c>
      <c r="I44" s="20" t="s">
        <v>1840</v>
      </c>
    </row>
    <row r="45" spans="5:10">
      <c r="E45" s="20" t="s">
        <v>204</v>
      </c>
      <c r="F45" s="20" t="s">
        <v>1841</v>
      </c>
      <c r="G45" s="20"/>
      <c r="H45" s="20" t="s">
        <v>1676</v>
      </c>
      <c r="I45" s="20" t="s">
        <v>1842</v>
      </c>
    </row>
    <row r="46" spans="5:10">
      <c r="E46" s="20" t="s">
        <v>204</v>
      </c>
      <c r="F46" s="20" t="s">
        <v>1843</v>
      </c>
      <c r="G46" s="20"/>
      <c r="H46" s="20" t="s">
        <v>1676</v>
      </c>
      <c r="I46" s="20" t="s">
        <v>1844</v>
      </c>
    </row>
    <row r="47" spans="5:10">
      <c r="E47" s="20" t="s">
        <v>204</v>
      </c>
      <c r="F47" s="20" t="s">
        <v>637</v>
      </c>
      <c r="G47" s="20"/>
      <c r="H47" s="20" t="s">
        <v>1676</v>
      </c>
      <c r="I47" s="20" t="s">
        <v>1845</v>
      </c>
    </row>
    <row r="48" spans="5:10">
      <c r="E48" s="20" t="s">
        <v>204</v>
      </c>
      <c r="F48" s="20" t="s">
        <v>1807</v>
      </c>
      <c r="G48" s="20"/>
      <c r="H48" s="20" t="s">
        <v>1676</v>
      </c>
      <c r="I48" s="20" t="s">
        <v>1846</v>
      </c>
    </row>
    <row r="49" spans="5:9">
      <c r="E49" s="20" t="s">
        <v>204</v>
      </c>
      <c r="F49" s="20" t="s">
        <v>1847</v>
      </c>
      <c r="G49" s="20"/>
      <c r="H49" s="20" t="s">
        <v>1676</v>
      </c>
      <c r="I49" s="20" t="s">
        <v>1848</v>
      </c>
    </row>
    <row r="50" spans="5:9">
      <c r="E50" s="20" t="s">
        <v>204</v>
      </c>
      <c r="F50" s="20" t="s">
        <v>1849</v>
      </c>
      <c r="G50" s="20"/>
      <c r="H50" s="20" t="s">
        <v>1676</v>
      </c>
      <c r="I50" s="20" t="s">
        <v>1850</v>
      </c>
    </row>
    <row r="51" spans="5:9">
      <c r="E51" s="20" t="s">
        <v>204</v>
      </c>
      <c r="F51" s="20" t="s">
        <v>1851</v>
      </c>
      <c r="G51" s="20"/>
      <c r="H51" s="20" t="s">
        <v>1676</v>
      </c>
      <c r="I51" s="20" t="s">
        <v>1852</v>
      </c>
    </row>
    <row r="52" spans="5:9">
      <c r="E52" s="20" t="s">
        <v>204</v>
      </c>
      <c r="F52" s="20" t="s">
        <v>168</v>
      </c>
      <c r="G52" s="20"/>
      <c r="H52" s="20" t="s">
        <v>1684</v>
      </c>
      <c r="I52" s="20" t="s">
        <v>1696</v>
      </c>
    </row>
    <row r="53" spans="5:9">
      <c r="E53" s="20" t="s">
        <v>204</v>
      </c>
      <c r="F53" s="20" t="s">
        <v>632</v>
      </c>
      <c r="G53" s="20"/>
      <c r="H53" s="20" t="s">
        <v>1684</v>
      </c>
      <c r="I53" s="20" t="s">
        <v>1853</v>
      </c>
    </row>
    <row r="54" spans="5:9">
      <c r="E54" s="20" t="s">
        <v>204</v>
      </c>
      <c r="F54" s="20" t="s">
        <v>1601</v>
      </c>
      <c r="G54" s="20"/>
      <c r="H54" s="20" t="s">
        <v>1684</v>
      </c>
      <c r="I54" s="20" t="s">
        <v>1854</v>
      </c>
    </row>
    <row r="55" spans="5:9">
      <c r="E55" s="20" t="s">
        <v>204</v>
      </c>
      <c r="F55" s="20" t="s">
        <v>1855</v>
      </c>
      <c r="G55" s="20"/>
      <c r="H55" s="20" t="s">
        <v>1689</v>
      </c>
      <c r="I55" s="20" t="s">
        <v>1856</v>
      </c>
    </row>
    <row r="56" spans="5:9">
      <c r="E56" s="20" t="s">
        <v>204</v>
      </c>
      <c r="F56" s="20" t="s">
        <v>1857</v>
      </c>
      <c r="G56" s="20"/>
      <c r="H56" s="20" t="s">
        <v>1689</v>
      </c>
      <c r="I56" s="20" t="s">
        <v>1858</v>
      </c>
    </row>
    <row r="57" spans="5:9">
      <c r="E57" s="20" t="s">
        <v>204</v>
      </c>
      <c r="F57" s="20" t="s">
        <v>1859</v>
      </c>
      <c r="G57" s="20"/>
      <c r="H57" s="20" t="s">
        <v>1696</v>
      </c>
      <c r="I57" s="20" t="s">
        <v>1860</v>
      </c>
    </row>
    <row r="58" spans="5:9">
      <c r="E58" s="20" t="s">
        <v>1688</v>
      </c>
      <c r="F58" s="20" t="s">
        <v>1861</v>
      </c>
      <c r="G58" s="20"/>
      <c r="H58" s="20" t="s">
        <v>1703</v>
      </c>
      <c r="I58" s="20" t="s">
        <v>1862</v>
      </c>
    </row>
    <row r="59" spans="5:9">
      <c r="E59" s="20" t="s">
        <v>1688</v>
      </c>
      <c r="F59" s="20" t="s">
        <v>1863</v>
      </c>
      <c r="G59" s="20"/>
      <c r="H59" s="20" t="s">
        <v>1703</v>
      </c>
      <c r="I59" s="20" t="s">
        <v>1864</v>
      </c>
    </row>
    <row r="60" spans="5:9">
      <c r="E60" s="20" t="s">
        <v>1688</v>
      </c>
      <c r="F60" s="20" t="s">
        <v>1865</v>
      </c>
      <c r="G60" s="20"/>
      <c r="H60" s="20" t="s">
        <v>1703</v>
      </c>
      <c r="I60" s="20" t="s">
        <v>1866</v>
      </c>
    </row>
    <row r="61" spans="5:9">
      <c r="E61" s="20" t="s">
        <v>1688</v>
      </c>
      <c r="F61" s="20" t="s">
        <v>1867</v>
      </c>
      <c r="G61" s="20"/>
      <c r="H61" s="20" t="s">
        <v>1703</v>
      </c>
      <c r="I61" s="20" t="s">
        <v>1868</v>
      </c>
    </row>
    <row r="62" spans="5:9">
      <c r="E62" s="20" t="s">
        <v>1694</v>
      </c>
      <c r="F62" s="20" t="s">
        <v>1869</v>
      </c>
      <c r="G62" s="20"/>
      <c r="H62" s="20" t="s">
        <v>1703</v>
      </c>
      <c r="I62" s="20" t="s">
        <v>1870</v>
      </c>
    </row>
    <row r="63" spans="5:9">
      <c r="E63" s="20" t="s">
        <v>188</v>
      </c>
      <c r="F63" s="20" t="s">
        <v>1871</v>
      </c>
      <c r="G63" s="20"/>
      <c r="H63" s="20" t="s">
        <v>1703</v>
      </c>
      <c r="I63" s="20" t="s">
        <v>1872</v>
      </c>
    </row>
    <row r="64" spans="5:9">
      <c r="E64" s="20" t="s">
        <v>188</v>
      </c>
      <c r="F64" s="20" t="s">
        <v>1435</v>
      </c>
      <c r="G64" s="20"/>
      <c r="H64" s="20" t="s">
        <v>1703</v>
      </c>
      <c r="I64" s="20" t="s">
        <v>0</v>
      </c>
    </row>
    <row r="65" spans="5:9">
      <c r="E65" s="20" t="s">
        <v>188</v>
      </c>
      <c r="F65" s="20" t="s">
        <v>1873</v>
      </c>
      <c r="G65" s="20"/>
      <c r="H65" s="20" t="s">
        <v>1703</v>
      </c>
      <c r="I65" s="20" t="s">
        <v>1874</v>
      </c>
    </row>
    <row r="66" spans="5:9">
      <c r="E66" s="20" t="s">
        <v>188</v>
      </c>
      <c r="F66" s="20" t="s">
        <v>1488</v>
      </c>
      <c r="G66" s="20"/>
      <c r="H66" s="20" t="s">
        <v>1703</v>
      </c>
      <c r="I66" s="20" t="s">
        <v>1875</v>
      </c>
    </row>
    <row r="67" spans="5:9">
      <c r="E67" s="20" t="s">
        <v>188</v>
      </c>
      <c r="F67" s="20" t="s">
        <v>1876</v>
      </c>
      <c r="G67" s="20"/>
      <c r="H67" s="20" t="s">
        <v>1703</v>
      </c>
      <c r="I67" s="20" t="s">
        <v>1877</v>
      </c>
    </row>
    <row r="68" spans="5:9">
      <c r="E68" s="20" t="s">
        <v>1707</v>
      </c>
      <c r="F68" s="20" t="s">
        <v>1878</v>
      </c>
      <c r="G68" s="20"/>
      <c r="H68" s="20" t="s">
        <v>1703</v>
      </c>
      <c r="I68" s="20" t="s">
        <v>1879</v>
      </c>
    </row>
    <row r="69" spans="5:9">
      <c r="E69" s="20" t="s">
        <v>1707</v>
      </c>
      <c r="F69" s="20" t="s">
        <v>1746</v>
      </c>
      <c r="G69" s="20"/>
      <c r="H69" s="20" t="s">
        <v>1703</v>
      </c>
      <c r="I69" s="20" t="s">
        <v>1880</v>
      </c>
    </row>
    <row r="70" spans="5:9">
      <c r="E70" s="20" t="s">
        <v>1707</v>
      </c>
      <c r="F70" s="20" t="s">
        <v>1262</v>
      </c>
      <c r="G70" s="20"/>
      <c r="H70" s="20" t="s">
        <v>1703</v>
      </c>
      <c r="I70" s="20" t="s">
        <v>1881</v>
      </c>
    </row>
    <row r="71" spans="5:9">
      <c r="E71" s="20" t="s">
        <v>1714</v>
      </c>
      <c r="F71" s="20" t="s">
        <v>1882</v>
      </c>
      <c r="G71" s="20"/>
      <c r="H71" s="20" t="s">
        <v>1703</v>
      </c>
      <c r="I71" s="20" t="s">
        <v>1883</v>
      </c>
    </row>
    <row r="72" spans="5:9">
      <c r="E72" s="20" t="s">
        <v>1714</v>
      </c>
      <c r="F72" s="20" t="s">
        <v>1758</v>
      </c>
      <c r="G72" s="20"/>
      <c r="H72" s="20" t="s">
        <v>1703</v>
      </c>
      <c r="I72" s="20" t="s">
        <v>1884</v>
      </c>
    </row>
    <row r="73" spans="5:9">
      <c r="E73" s="20" t="s">
        <v>1714</v>
      </c>
      <c r="F73" s="20" t="s">
        <v>1885</v>
      </c>
      <c r="G73" s="20"/>
      <c r="H73" s="20" t="s">
        <v>1703</v>
      </c>
      <c r="I73" s="20" t="s">
        <v>1886</v>
      </c>
    </row>
    <row r="74" spans="5:9">
      <c r="E74" s="20" t="s">
        <v>150</v>
      </c>
      <c r="F74" s="20" t="s">
        <v>1887</v>
      </c>
      <c r="G74" s="20"/>
      <c r="H74" s="20" t="s">
        <v>1703</v>
      </c>
      <c r="I74" s="20" t="s">
        <v>1888</v>
      </c>
    </row>
    <row r="75" spans="5:9">
      <c r="E75" s="20" t="s">
        <v>150</v>
      </c>
      <c r="F75" s="20" t="s">
        <v>1889</v>
      </c>
      <c r="G75" s="20"/>
      <c r="H75" s="20" t="s">
        <v>1703</v>
      </c>
      <c r="I75" s="20" t="s">
        <v>1890</v>
      </c>
    </row>
    <row r="76" spans="5:9">
      <c r="E76" s="20" t="s">
        <v>150</v>
      </c>
      <c r="F76" s="20" t="s">
        <v>172</v>
      </c>
      <c r="G76" s="20"/>
      <c r="H76" s="20" t="s">
        <v>1703</v>
      </c>
      <c r="I76" s="20" t="s">
        <v>1891</v>
      </c>
    </row>
    <row r="77" spans="5:9">
      <c r="E77" s="20" t="s">
        <v>150</v>
      </c>
      <c r="F77" s="20" t="s">
        <v>1892</v>
      </c>
      <c r="G77" s="20"/>
      <c r="H77" s="20" t="s">
        <v>1703</v>
      </c>
      <c r="I77" s="20" t="s">
        <v>1707</v>
      </c>
    </row>
    <row r="78" spans="5:9">
      <c r="E78" s="20" t="s">
        <v>150</v>
      </c>
      <c r="F78" s="20" t="s">
        <v>1893</v>
      </c>
      <c r="G78" s="20"/>
      <c r="H78" s="20" t="s">
        <v>1703</v>
      </c>
      <c r="I78" s="20" t="s">
        <v>1894</v>
      </c>
    </row>
    <row r="79" spans="5:9">
      <c r="E79" s="20" t="s">
        <v>150</v>
      </c>
      <c r="F79" s="20" t="s">
        <v>1807</v>
      </c>
      <c r="G79" s="20"/>
      <c r="H79" s="20" t="s">
        <v>1703</v>
      </c>
      <c r="I79" s="20" t="s">
        <v>1848</v>
      </c>
    </row>
    <row r="80" spans="5:9">
      <c r="E80" s="20" t="s">
        <v>150</v>
      </c>
      <c r="F80" s="20" t="s">
        <v>1895</v>
      </c>
      <c r="G80" s="20"/>
      <c r="H80" s="20" t="s">
        <v>1703</v>
      </c>
      <c r="I80" s="20" t="s">
        <v>1896</v>
      </c>
    </row>
    <row r="81" spans="5:9">
      <c r="E81" s="20" t="s">
        <v>150</v>
      </c>
      <c r="F81" s="20" t="s">
        <v>1897</v>
      </c>
      <c r="G81" s="20"/>
      <c r="H81" s="20" t="s">
        <v>1703</v>
      </c>
      <c r="I81" s="20" t="s">
        <v>1898</v>
      </c>
    </row>
    <row r="82" spans="5:9">
      <c r="E82" s="20" t="s">
        <v>150</v>
      </c>
      <c r="F82" s="20" t="s">
        <v>1899</v>
      </c>
      <c r="G82" s="20"/>
      <c r="H82" s="20" t="s">
        <v>1703</v>
      </c>
      <c r="I82" s="20" t="s">
        <v>1794</v>
      </c>
    </row>
    <row r="83" spans="5:9">
      <c r="E83" s="20" t="s">
        <v>150</v>
      </c>
      <c r="F83" s="20" t="s">
        <v>151</v>
      </c>
      <c r="G83" s="20"/>
      <c r="H83" s="20" t="s">
        <v>1703</v>
      </c>
      <c r="I83" s="20" t="s">
        <v>1900</v>
      </c>
    </row>
    <row r="84" spans="5:9">
      <c r="E84" s="20" t="s">
        <v>150</v>
      </c>
      <c r="F84" s="20" t="s">
        <v>1901</v>
      </c>
      <c r="G84" s="20"/>
      <c r="H84" s="20" t="s">
        <v>1703</v>
      </c>
      <c r="I84" s="20" t="s">
        <v>1902</v>
      </c>
    </row>
    <row r="85" spans="5:9">
      <c r="E85" s="20" t="s">
        <v>150</v>
      </c>
      <c r="F85" s="20" t="s">
        <v>1903</v>
      </c>
      <c r="G85" s="20"/>
      <c r="H85" s="20" t="s">
        <v>1703</v>
      </c>
      <c r="I85" s="20" t="s">
        <v>1904</v>
      </c>
    </row>
    <row r="86" spans="5:9">
      <c r="E86" s="20" t="s">
        <v>1726</v>
      </c>
      <c r="F86" s="20" t="s">
        <v>1905</v>
      </c>
      <c r="G86" s="20"/>
      <c r="H86" s="20" t="s">
        <v>1703</v>
      </c>
      <c r="I86" s="20" t="s">
        <v>1906</v>
      </c>
    </row>
    <row r="87" spans="5:9">
      <c r="E87" s="20" t="s">
        <v>1726</v>
      </c>
      <c r="F87" s="20" t="s">
        <v>1907</v>
      </c>
      <c r="G87" s="20"/>
      <c r="H87" s="20" t="s">
        <v>1703</v>
      </c>
      <c r="I87" s="20" t="s">
        <v>1850</v>
      </c>
    </row>
    <row r="88" spans="5:9">
      <c r="E88" s="20" t="s">
        <v>1726</v>
      </c>
      <c r="F88" s="20" t="s">
        <v>1908</v>
      </c>
      <c r="G88" s="20"/>
      <c r="H88" s="20" t="s">
        <v>1703</v>
      </c>
      <c r="I88" s="20" t="s">
        <v>1909</v>
      </c>
    </row>
    <row r="89" spans="5:9">
      <c r="E89" s="20" t="s">
        <v>1726</v>
      </c>
      <c r="F89" s="20" t="s">
        <v>1910</v>
      </c>
      <c r="G89" s="20"/>
      <c r="H89" s="20" t="s">
        <v>1703</v>
      </c>
      <c r="I89" s="20" t="s">
        <v>1911</v>
      </c>
    </row>
    <row r="90" spans="5:9">
      <c r="E90" s="20" t="s">
        <v>1726</v>
      </c>
      <c r="F90" s="20" t="s">
        <v>1912</v>
      </c>
      <c r="G90" s="20"/>
      <c r="H90" s="20" t="s">
        <v>1703</v>
      </c>
      <c r="I90" s="20" t="s">
        <v>1913</v>
      </c>
    </row>
    <row r="91" spans="5:9">
      <c r="E91" s="20" t="s">
        <v>1726</v>
      </c>
      <c r="F91" s="20" t="s">
        <v>1914</v>
      </c>
      <c r="G91" s="20"/>
      <c r="H91" s="20" t="s">
        <v>1703</v>
      </c>
      <c r="I91" s="20" t="s">
        <v>1915</v>
      </c>
    </row>
    <row r="92" spans="5:9">
      <c r="E92" s="20" t="s">
        <v>1733</v>
      </c>
      <c r="F92" s="20" t="s">
        <v>1916</v>
      </c>
      <c r="G92" s="20"/>
      <c r="H92" s="20" t="s">
        <v>1703</v>
      </c>
      <c r="I92" s="20" t="s">
        <v>1917</v>
      </c>
    </row>
    <row r="93" spans="5:9">
      <c r="E93" s="20" t="s">
        <v>1733</v>
      </c>
      <c r="F93" s="20" t="s">
        <v>1918</v>
      </c>
      <c r="G93" s="20"/>
      <c r="H93" s="20" t="s">
        <v>1703</v>
      </c>
      <c r="I93" s="20" t="s">
        <v>1919</v>
      </c>
    </row>
    <row r="94" spans="5:9">
      <c r="E94" s="20" t="s">
        <v>1733</v>
      </c>
      <c r="F94" s="20" t="s">
        <v>1920</v>
      </c>
      <c r="G94" s="20"/>
      <c r="H94" s="20" t="s">
        <v>1703</v>
      </c>
      <c r="I94" s="20" t="s">
        <v>1921</v>
      </c>
    </row>
    <row r="95" spans="5:9">
      <c r="E95" s="20" t="s">
        <v>1733</v>
      </c>
      <c r="F95" s="20" t="s">
        <v>1922</v>
      </c>
      <c r="G95" s="20"/>
      <c r="H95" s="20" t="s">
        <v>1703</v>
      </c>
      <c r="I95" s="20" t="s">
        <v>1923</v>
      </c>
    </row>
    <row r="96" spans="5:9">
      <c r="E96" s="20" t="s">
        <v>1733</v>
      </c>
      <c r="F96" s="20" t="s">
        <v>1924</v>
      </c>
      <c r="G96" s="20"/>
      <c r="H96" s="20" t="s">
        <v>1709</v>
      </c>
      <c r="I96" s="20" t="s">
        <v>1925</v>
      </c>
    </row>
    <row r="97" spans="5:9">
      <c r="E97" s="20" t="s">
        <v>1739</v>
      </c>
      <c r="F97" s="20" t="s">
        <v>1739</v>
      </c>
      <c r="G97" s="20"/>
      <c r="H97" s="20" t="s">
        <v>1709</v>
      </c>
      <c r="I97" s="20" t="s">
        <v>1926</v>
      </c>
    </row>
    <row r="98" spans="5:9">
      <c r="E98" s="20" t="s">
        <v>1745</v>
      </c>
      <c r="F98" s="20" t="s">
        <v>1696</v>
      </c>
      <c r="G98" s="20"/>
      <c r="H98" s="20" t="s">
        <v>1716</v>
      </c>
      <c r="I98" s="20" t="s">
        <v>1927</v>
      </c>
    </row>
    <row r="99" spans="5:9">
      <c r="E99" s="20" t="s">
        <v>1745</v>
      </c>
      <c r="F99" s="20" t="s">
        <v>1928</v>
      </c>
      <c r="G99" s="20"/>
      <c r="H99" s="20" t="s">
        <v>1716</v>
      </c>
      <c r="I99" s="20" t="s">
        <v>1929</v>
      </c>
    </row>
    <row r="100" spans="5:9">
      <c r="H100" s="20" t="s">
        <v>1716</v>
      </c>
      <c r="I100" s="20" t="s">
        <v>1930</v>
      </c>
    </row>
    <row r="101" spans="5:9">
      <c r="H101" s="20" t="s">
        <v>1721</v>
      </c>
      <c r="I101" s="20" t="s">
        <v>1931</v>
      </c>
    </row>
    <row r="102" spans="5:9">
      <c r="H102" s="20" t="s">
        <v>1721</v>
      </c>
      <c r="I102" s="20" t="s">
        <v>1932</v>
      </c>
    </row>
    <row r="103" spans="5:9">
      <c r="H103" s="20" t="s">
        <v>1721</v>
      </c>
      <c r="I103" s="20" t="s">
        <v>1933</v>
      </c>
    </row>
    <row r="104" spans="5:9">
      <c r="H104" s="20" t="s">
        <v>1721</v>
      </c>
      <c r="I104" s="20" t="s">
        <v>1934</v>
      </c>
    </row>
    <row r="105" spans="5:9">
      <c r="H105" s="20" t="s">
        <v>1728</v>
      </c>
      <c r="I105" s="20" t="s">
        <v>1935</v>
      </c>
    </row>
    <row r="106" spans="5:9">
      <c r="H106" s="20" t="s">
        <v>1728</v>
      </c>
      <c r="I106" s="20" t="s">
        <v>1936</v>
      </c>
    </row>
    <row r="107" spans="5:9">
      <c r="H107" s="20" t="s">
        <v>1728</v>
      </c>
      <c r="I107" s="20" t="s">
        <v>1937</v>
      </c>
    </row>
    <row r="108" spans="5:9">
      <c r="H108" s="20" t="s">
        <v>1728</v>
      </c>
      <c r="I108" s="20" t="s">
        <v>1938</v>
      </c>
    </row>
    <row r="109" spans="5:9">
      <c r="H109" s="20" t="s">
        <v>1728</v>
      </c>
      <c r="I109" s="20" t="s">
        <v>1939</v>
      </c>
    </row>
    <row r="110" spans="5:9">
      <c r="H110" s="20" t="s">
        <v>1728</v>
      </c>
      <c r="I110" s="20" t="s">
        <v>1940</v>
      </c>
    </row>
    <row r="111" spans="5:9">
      <c r="H111" s="20" t="s">
        <v>1728</v>
      </c>
      <c r="I111" s="20" t="s">
        <v>1941</v>
      </c>
    </row>
    <row r="112" spans="5:9">
      <c r="H112" s="20" t="s">
        <v>1728</v>
      </c>
      <c r="I112" s="20" t="s">
        <v>1942</v>
      </c>
    </row>
    <row r="113" spans="8:9">
      <c r="H113" s="20" t="s">
        <v>1734</v>
      </c>
      <c r="I113" s="20" t="s">
        <v>1943</v>
      </c>
    </row>
    <row r="114" spans="8:9">
      <c r="H114" s="20" t="s">
        <v>1734</v>
      </c>
      <c r="I114" s="20" t="s">
        <v>1929</v>
      </c>
    </row>
    <row r="115" spans="8:9">
      <c r="H115" s="20" t="s">
        <v>1734</v>
      </c>
      <c r="I115" s="20" t="s">
        <v>1944</v>
      </c>
    </row>
    <row r="116" spans="8:9">
      <c r="H116" s="20" t="s">
        <v>1734</v>
      </c>
      <c r="I116" s="20" t="s">
        <v>1945</v>
      </c>
    </row>
    <row r="117" spans="8:9">
      <c r="H117" s="20" t="s">
        <v>1734</v>
      </c>
      <c r="I117" s="20" t="s">
        <v>1946</v>
      </c>
    </row>
    <row r="118" spans="8:9">
      <c r="H118" s="20" t="s">
        <v>1734</v>
      </c>
      <c r="I118" s="20" t="s">
        <v>1947</v>
      </c>
    </row>
    <row r="119" spans="8:9">
      <c r="H119" s="20" t="s">
        <v>1734</v>
      </c>
      <c r="I119" s="20" t="s">
        <v>1948</v>
      </c>
    </row>
    <row r="120" spans="8:9">
      <c r="H120" s="20" t="s">
        <v>1734</v>
      </c>
      <c r="I120" s="20" t="s">
        <v>1949</v>
      </c>
    </row>
    <row r="121" spans="8:9">
      <c r="H121" s="20" t="s">
        <v>1741</v>
      </c>
      <c r="I121" s="20" t="s">
        <v>1950</v>
      </c>
    </row>
    <row r="122" spans="8:9">
      <c r="H122" s="20" t="s">
        <v>1741</v>
      </c>
      <c r="I122" s="20" t="s">
        <v>1951</v>
      </c>
    </row>
    <row r="123" spans="8:9">
      <c r="H123" s="20" t="s">
        <v>1741</v>
      </c>
      <c r="I123" s="20" t="s">
        <v>1952</v>
      </c>
    </row>
    <row r="124" spans="8:9">
      <c r="H124" s="20" t="s">
        <v>1741</v>
      </c>
      <c r="I124" s="20" t="s">
        <v>1779</v>
      </c>
    </row>
    <row r="125" spans="8:9">
      <c r="H125" s="20" t="s">
        <v>1741</v>
      </c>
      <c r="I125" s="20" t="s">
        <v>1953</v>
      </c>
    </row>
    <row r="126" spans="8:9">
      <c r="H126" s="20" t="s">
        <v>1741</v>
      </c>
      <c r="I126" s="20" t="s">
        <v>1954</v>
      </c>
    </row>
    <row r="127" spans="8:9">
      <c r="H127" s="20" t="s">
        <v>1747</v>
      </c>
      <c r="I127" s="20" t="s">
        <v>1955</v>
      </c>
    </row>
    <row r="128" spans="8:9">
      <c r="H128" s="20" t="s">
        <v>1747</v>
      </c>
      <c r="I128" s="20" t="s">
        <v>1956</v>
      </c>
    </row>
    <row r="129" spans="8:9">
      <c r="H129" s="20" t="s">
        <v>1747</v>
      </c>
      <c r="I129" s="20" t="s">
        <v>1957</v>
      </c>
    </row>
    <row r="130" spans="8:9">
      <c r="H130" s="20" t="s">
        <v>1747</v>
      </c>
      <c r="I130" s="20" t="s">
        <v>1958</v>
      </c>
    </row>
    <row r="131" spans="8:9">
      <c r="H131" s="20" t="s">
        <v>1747</v>
      </c>
      <c r="I131" s="20" t="s">
        <v>1959</v>
      </c>
    </row>
    <row r="132" spans="8:9">
      <c r="H132" s="20" t="s">
        <v>1747</v>
      </c>
      <c r="I132" s="20" t="s">
        <v>1960</v>
      </c>
    </row>
    <row r="133" spans="8:9">
      <c r="H133" s="20" t="s">
        <v>1753</v>
      </c>
      <c r="I133" s="20" t="s">
        <v>1961</v>
      </c>
    </row>
    <row r="134" spans="8:9">
      <c r="H134" s="20" t="s">
        <v>1753</v>
      </c>
      <c r="I134" s="20" t="s">
        <v>1962</v>
      </c>
    </row>
    <row r="135" spans="8:9">
      <c r="H135" s="20" t="s">
        <v>1753</v>
      </c>
      <c r="I135" s="20" t="s">
        <v>1963</v>
      </c>
    </row>
    <row r="136" spans="8:9">
      <c r="H136" s="20" t="s">
        <v>1753</v>
      </c>
      <c r="I136" s="20" t="s">
        <v>1964</v>
      </c>
    </row>
    <row r="137" spans="8:9">
      <c r="H137" s="20" t="s">
        <v>1753</v>
      </c>
      <c r="I137" s="20" t="s">
        <v>1965</v>
      </c>
    </row>
    <row r="138" spans="8:9">
      <c r="H138" s="20" t="s">
        <v>1753</v>
      </c>
      <c r="I138" s="20" t="s">
        <v>1966</v>
      </c>
    </row>
    <row r="139" spans="8:9">
      <c r="H139" s="20" t="s">
        <v>1753</v>
      </c>
      <c r="I139" s="20" t="s">
        <v>1956</v>
      </c>
    </row>
    <row r="140" spans="8:9">
      <c r="H140" s="20" t="s">
        <v>1753</v>
      </c>
      <c r="I140" s="20" t="s">
        <v>1967</v>
      </c>
    </row>
    <row r="141" spans="8:9">
      <c r="H141" s="20" t="s">
        <v>1753</v>
      </c>
      <c r="I141" s="20" t="s">
        <v>1833</v>
      </c>
    </row>
    <row r="142" spans="8:9">
      <c r="H142" s="20" t="s">
        <v>1753</v>
      </c>
      <c r="I142" s="20" t="s">
        <v>1968</v>
      </c>
    </row>
    <row r="143" spans="8:9">
      <c r="H143" s="20" t="s">
        <v>1753</v>
      </c>
      <c r="I143" s="20" t="s">
        <v>1969</v>
      </c>
    </row>
    <row r="144" spans="8:9">
      <c r="H144" s="20" t="s">
        <v>1753</v>
      </c>
      <c r="I144" s="20" t="s">
        <v>1970</v>
      </c>
    </row>
    <row r="145" spans="8:9">
      <c r="H145" s="20" t="s">
        <v>1753</v>
      </c>
      <c r="I145" s="20" t="s">
        <v>1778</v>
      </c>
    </row>
    <row r="146" spans="8:9">
      <c r="H146" s="20" t="s">
        <v>1753</v>
      </c>
      <c r="I146" s="20" t="s">
        <v>1971</v>
      </c>
    </row>
    <row r="147" spans="8:9">
      <c r="H147" s="20" t="s">
        <v>1753</v>
      </c>
      <c r="I147" s="20" t="s">
        <v>1972</v>
      </c>
    </row>
    <row r="148" spans="8:9">
      <c r="H148" s="20" t="s">
        <v>1753</v>
      </c>
      <c r="I148" s="20" t="s">
        <v>1973</v>
      </c>
    </row>
    <row r="149" spans="8:9">
      <c r="H149" s="20" t="s">
        <v>1753</v>
      </c>
      <c r="I149" s="20" t="s">
        <v>1974</v>
      </c>
    </row>
    <row r="150" spans="8:9">
      <c r="H150" s="20" t="s">
        <v>1753</v>
      </c>
      <c r="I150" s="20" t="s">
        <v>1975</v>
      </c>
    </row>
    <row r="151" spans="8:9">
      <c r="H151" s="20" t="s">
        <v>1753</v>
      </c>
      <c r="I151" s="20" t="s">
        <v>1976</v>
      </c>
    </row>
    <row r="152" spans="8:9">
      <c r="H152" s="20" t="s">
        <v>1753</v>
      </c>
      <c r="I152" s="20" t="s">
        <v>1977</v>
      </c>
    </row>
    <row r="153" spans="8:9">
      <c r="H153" s="20" t="s">
        <v>1753</v>
      </c>
      <c r="I153" s="20" t="s">
        <v>1978</v>
      </c>
    </row>
    <row r="154" spans="8:9">
      <c r="H154" s="20" t="s">
        <v>1753</v>
      </c>
      <c r="I154" s="20" t="s">
        <v>1979</v>
      </c>
    </row>
    <row r="155" spans="8:9">
      <c r="H155" s="20" t="s">
        <v>1753</v>
      </c>
      <c r="I155" s="20" t="s">
        <v>1980</v>
      </c>
    </row>
    <row r="156" spans="8:9">
      <c r="H156" s="20" t="s">
        <v>1753</v>
      </c>
      <c r="I156" s="20" t="s">
        <v>1799</v>
      </c>
    </row>
    <row r="157" spans="8:9">
      <c r="H157" s="20" t="s">
        <v>1753</v>
      </c>
      <c r="I157" s="20" t="s">
        <v>1981</v>
      </c>
    </row>
    <row r="158" spans="8:9">
      <c r="H158" s="20" t="s">
        <v>1753</v>
      </c>
      <c r="I158" s="20" t="s">
        <v>1982</v>
      </c>
    </row>
    <row r="159" spans="8:9">
      <c r="H159" s="20" t="s">
        <v>1753</v>
      </c>
      <c r="I159" s="20" t="s">
        <v>1983</v>
      </c>
    </row>
    <row r="160" spans="8:9">
      <c r="H160" s="20" t="s">
        <v>1758</v>
      </c>
      <c r="I160" s="20" t="s">
        <v>1984</v>
      </c>
    </row>
    <row r="161" spans="8:9">
      <c r="H161" s="20" t="s">
        <v>1758</v>
      </c>
      <c r="I161" s="20" t="s">
        <v>1985</v>
      </c>
    </row>
    <row r="162" spans="8:9">
      <c r="H162" s="20" t="s">
        <v>1758</v>
      </c>
      <c r="I162" s="20" t="s">
        <v>1986</v>
      </c>
    </row>
    <row r="163" spans="8:9">
      <c r="H163" s="20" t="s">
        <v>1758</v>
      </c>
      <c r="I163" s="20" t="s">
        <v>1987</v>
      </c>
    </row>
    <row r="164" spans="8:9">
      <c r="H164" s="20" t="s">
        <v>1758</v>
      </c>
      <c r="I164" s="20" t="s">
        <v>1988</v>
      </c>
    </row>
    <row r="165" spans="8:9">
      <c r="H165" s="20" t="s">
        <v>1758</v>
      </c>
      <c r="I165" s="20" t="s">
        <v>1989</v>
      </c>
    </row>
    <row r="166" spans="8:9">
      <c r="H166" s="20" t="s">
        <v>1758</v>
      </c>
      <c r="I166" s="20" t="s">
        <v>1990</v>
      </c>
    </row>
    <row r="167" spans="8:9">
      <c r="H167" s="20" t="s">
        <v>1762</v>
      </c>
      <c r="I167" s="20" t="s">
        <v>1991</v>
      </c>
    </row>
    <row r="168" spans="8:9">
      <c r="H168" s="20" t="s">
        <v>1762</v>
      </c>
      <c r="I168" s="20" t="s">
        <v>1992</v>
      </c>
    </row>
    <row r="169" spans="8:9">
      <c r="H169" s="20" t="s">
        <v>1762</v>
      </c>
      <c r="I169" s="20" t="s">
        <v>1993</v>
      </c>
    </row>
    <row r="170" spans="8:9">
      <c r="H170" s="20" t="s">
        <v>1767</v>
      </c>
      <c r="I170" s="20" t="s">
        <v>1984</v>
      </c>
    </row>
    <row r="171" spans="8:9">
      <c r="H171" s="20" t="s">
        <v>1767</v>
      </c>
      <c r="I171" s="20" t="s">
        <v>1994</v>
      </c>
    </row>
    <row r="172" spans="8:9">
      <c r="H172" s="20" t="s">
        <v>1767</v>
      </c>
      <c r="I172" s="20" t="s">
        <v>1995</v>
      </c>
    </row>
    <row r="173" spans="8:9">
      <c r="H173" s="20" t="s">
        <v>1767</v>
      </c>
      <c r="I173" s="20" t="s">
        <v>1996</v>
      </c>
    </row>
    <row r="174" spans="8:9">
      <c r="H174" s="20" t="s">
        <v>1767</v>
      </c>
      <c r="I174" s="20" t="s">
        <v>1997</v>
      </c>
    </row>
    <row r="175" spans="8:9">
      <c r="H175" s="20" t="s">
        <v>1767</v>
      </c>
      <c r="I175" s="20" t="s">
        <v>1998</v>
      </c>
    </row>
    <row r="176" spans="8:9">
      <c r="H176" s="20" t="s">
        <v>1767</v>
      </c>
      <c r="I176" s="20" t="s">
        <v>1999</v>
      </c>
    </row>
    <row r="177" spans="8:9">
      <c r="H177" s="20" t="s">
        <v>1767</v>
      </c>
      <c r="I177" s="20" t="s">
        <v>2000</v>
      </c>
    </row>
    <row r="178" spans="8:9">
      <c r="H178" s="20" t="s">
        <v>1767</v>
      </c>
      <c r="I178" s="20" t="s">
        <v>2001</v>
      </c>
    </row>
    <row r="179" spans="8:9">
      <c r="H179" s="20" t="s">
        <v>1767</v>
      </c>
      <c r="I179" s="20" t="s">
        <v>1696</v>
      </c>
    </row>
    <row r="180" spans="8:9">
      <c r="H180" s="20" t="s">
        <v>1767</v>
      </c>
      <c r="I180" s="20" t="s">
        <v>1925</v>
      </c>
    </row>
    <row r="181" spans="8:9">
      <c r="H181" s="20" t="s">
        <v>1767</v>
      </c>
      <c r="I181" s="20" t="s">
        <v>2002</v>
      </c>
    </row>
    <row r="182" spans="8:9">
      <c r="H182" s="20" t="s">
        <v>1767</v>
      </c>
      <c r="I182" s="20" t="s">
        <v>2003</v>
      </c>
    </row>
    <row r="183" spans="8:9">
      <c r="H183" s="20" t="s">
        <v>1767</v>
      </c>
      <c r="I183" s="20" t="s">
        <v>2004</v>
      </c>
    </row>
    <row r="184" spans="8:9">
      <c r="H184" s="20" t="s">
        <v>1767</v>
      </c>
      <c r="I184" s="20" t="s">
        <v>2005</v>
      </c>
    </row>
    <row r="185" spans="8:9">
      <c r="H185" s="20" t="s">
        <v>1767</v>
      </c>
      <c r="I185" s="20" t="s">
        <v>2006</v>
      </c>
    </row>
    <row r="186" spans="8:9">
      <c r="H186" s="20" t="s">
        <v>1767</v>
      </c>
      <c r="I186" s="20" t="s">
        <v>2007</v>
      </c>
    </row>
    <row r="187" spans="8:9">
      <c r="H187" s="20" t="s">
        <v>1767</v>
      </c>
      <c r="I187" s="20" t="s">
        <v>2008</v>
      </c>
    </row>
    <row r="188" spans="8:9">
      <c r="H188" s="20" t="s">
        <v>1767</v>
      </c>
      <c r="I188" s="20" t="s">
        <v>2009</v>
      </c>
    </row>
    <row r="189" spans="8:9">
      <c r="H189" s="20" t="s">
        <v>1767</v>
      </c>
      <c r="I189" s="20" t="s">
        <v>2010</v>
      </c>
    </row>
    <row r="190" spans="8:9">
      <c r="H190" s="20" t="s">
        <v>1767</v>
      </c>
      <c r="I190" s="20" t="s">
        <v>2011</v>
      </c>
    </row>
    <row r="191" spans="8:9">
      <c r="H191" s="20" t="s">
        <v>1767</v>
      </c>
      <c r="I191" s="20" t="s">
        <v>2012</v>
      </c>
    </row>
    <row r="192" spans="8:9">
      <c r="H192" s="20" t="s">
        <v>1767</v>
      </c>
      <c r="I192" s="20" t="s">
        <v>2013</v>
      </c>
    </row>
    <row r="193" spans="8:9">
      <c r="H193" s="20" t="s">
        <v>1767</v>
      </c>
      <c r="I193" s="20" t="s">
        <v>2014</v>
      </c>
    </row>
    <row r="194" spans="8:9">
      <c r="H194" s="20" t="s">
        <v>1767</v>
      </c>
      <c r="I194" s="20" t="s">
        <v>2015</v>
      </c>
    </row>
    <row r="195" spans="8:9">
      <c r="H195" s="20" t="s">
        <v>1767</v>
      </c>
      <c r="I195" s="20" t="s">
        <v>2016</v>
      </c>
    </row>
    <row r="196" spans="8:9">
      <c r="H196" s="20" t="s">
        <v>1767</v>
      </c>
      <c r="I196" s="20" t="s">
        <v>2017</v>
      </c>
    </row>
    <row r="197" spans="8:9">
      <c r="H197" s="20" t="s">
        <v>1767</v>
      </c>
      <c r="I197" s="20" t="s">
        <v>2018</v>
      </c>
    </row>
    <row r="198" spans="8:9">
      <c r="H198" s="20" t="s">
        <v>1767</v>
      </c>
      <c r="I198" s="20" t="s">
        <v>2019</v>
      </c>
    </row>
    <row r="199" spans="8:9">
      <c r="H199" s="20" t="s">
        <v>1767</v>
      </c>
      <c r="I199" s="20" t="s">
        <v>2020</v>
      </c>
    </row>
    <row r="200" spans="8:9">
      <c r="H200" s="20" t="s">
        <v>1767</v>
      </c>
      <c r="I200" s="20" t="s">
        <v>2021</v>
      </c>
    </row>
    <row r="201" spans="8:9">
      <c r="H201" s="20" t="s">
        <v>1771</v>
      </c>
      <c r="I201" s="20" t="s">
        <v>2022</v>
      </c>
    </row>
    <row r="202" spans="8:9">
      <c r="H202" s="20" t="s">
        <v>1771</v>
      </c>
      <c r="I202" s="20" t="s">
        <v>2023</v>
      </c>
    </row>
    <row r="203" spans="8:9">
      <c r="H203" s="20" t="s">
        <v>1771</v>
      </c>
      <c r="I203" s="20" t="s">
        <v>2024</v>
      </c>
    </row>
    <row r="204" spans="8:9">
      <c r="H204" s="20" t="s">
        <v>1771</v>
      </c>
      <c r="I204" s="20" t="s">
        <v>2025</v>
      </c>
    </row>
    <row r="205" spans="8:9">
      <c r="H205" s="20" t="s">
        <v>1771</v>
      </c>
      <c r="I205" s="20" t="s">
        <v>2026</v>
      </c>
    </row>
    <row r="206" spans="8:9">
      <c r="H206" s="20" t="s">
        <v>1775</v>
      </c>
      <c r="I206" s="20" t="s">
        <v>2027</v>
      </c>
    </row>
    <row r="207" spans="8:9">
      <c r="H207" s="20" t="s">
        <v>1775</v>
      </c>
      <c r="I207" s="20" t="s">
        <v>2028</v>
      </c>
    </row>
    <row r="208" spans="8:9">
      <c r="H208" s="20" t="s">
        <v>1775</v>
      </c>
      <c r="I208" s="20" t="s">
        <v>1663</v>
      </c>
    </row>
    <row r="209" spans="8:9">
      <c r="H209" s="20" t="s">
        <v>1775</v>
      </c>
      <c r="I209" s="20" t="s">
        <v>1704</v>
      </c>
    </row>
    <row r="210" spans="8:9">
      <c r="H210" s="20" t="s">
        <v>1775</v>
      </c>
      <c r="I210" s="20" t="s">
        <v>2029</v>
      </c>
    </row>
    <row r="211" spans="8:9">
      <c r="H211" s="20" t="s">
        <v>1775</v>
      </c>
      <c r="I211" s="20" t="s">
        <v>2030</v>
      </c>
    </row>
    <row r="212" spans="8:9">
      <c r="H212" s="20" t="s">
        <v>1775</v>
      </c>
      <c r="I212" s="20" t="s">
        <v>2031</v>
      </c>
    </row>
    <row r="213" spans="8:9">
      <c r="H213" s="20" t="s">
        <v>1775</v>
      </c>
      <c r="I213" s="20" t="s">
        <v>2032</v>
      </c>
    </row>
    <row r="214" spans="8:9">
      <c r="H214" s="20" t="s">
        <v>1775</v>
      </c>
      <c r="I214" s="20" t="s">
        <v>1754</v>
      </c>
    </row>
    <row r="215" spans="8:9">
      <c r="H215" s="20" t="s">
        <v>1775</v>
      </c>
      <c r="I215" s="20" t="s">
        <v>2033</v>
      </c>
    </row>
    <row r="216" spans="8:9">
      <c r="H216" s="20" t="s">
        <v>1775</v>
      </c>
      <c r="I216" s="20" t="s">
        <v>2034</v>
      </c>
    </row>
    <row r="217" spans="8:9">
      <c r="H217" s="20" t="s">
        <v>1775</v>
      </c>
      <c r="I217" s="20" t="s">
        <v>1954</v>
      </c>
    </row>
    <row r="218" spans="8:9">
      <c r="H218" s="20" t="s">
        <v>1778</v>
      </c>
      <c r="I218" s="20" t="s">
        <v>2027</v>
      </c>
    </row>
    <row r="219" spans="8:9">
      <c r="H219" s="20" t="s">
        <v>1778</v>
      </c>
      <c r="I219" s="20" t="s">
        <v>2028</v>
      </c>
    </row>
    <row r="220" spans="8:9">
      <c r="H220" s="20" t="s">
        <v>1778</v>
      </c>
      <c r="I220" s="20" t="s">
        <v>1663</v>
      </c>
    </row>
    <row r="221" spans="8:9">
      <c r="H221" s="20" t="s">
        <v>1778</v>
      </c>
      <c r="I221" s="20" t="s">
        <v>1704</v>
      </c>
    </row>
    <row r="222" spans="8:9">
      <c r="H222" s="20" t="s">
        <v>1778</v>
      </c>
      <c r="I222" s="20" t="s">
        <v>2029</v>
      </c>
    </row>
    <row r="223" spans="8:9">
      <c r="H223" s="20" t="s">
        <v>1778</v>
      </c>
      <c r="I223" s="20" t="s">
        <v>2030</v>
      </c>
    </row>
    <row r="224" spans="8:9">
      <c r="H224" s="20" t="s">
        <v>1778</v>
      </c>
      <c r="I224" s="20" t="s">
        <v>2031</v>
      </c>
    </row>
    <row r="225" spans="8:9">
      <c r="H225" s="20" t="s">
        <v>1778</v>
      </c>
      <c r="I225" s="20" t="s">
        <v>2032</v>
      </c>
    </row>
    <row r="226" spans="8:9">
      <c r="H226" s="20" t="s">
        <v>1778</v>
      </c>
      <c r="I226" s="20" t="s">
        <v>2035</v>
      </c>
    </row>
    <row r="227" spans="8:9">
      <c r="H227" s="20" t="s">
        <v>1778</v>
      </c>
      <c r="I227" s="20" t="s">
        <v>1754</v>
      </c>
    </row>
    <row r="228" spans="8:9">
      <c r="H228" s="20" t="s">
        <v>1778</v>
      </c>
      <c r="I228" s="20" t="s">
        <v>1768</v>
      </c>
    </row>
    <row r="229" spans="8:9">
      <c r="H229" s="20" t="s">
        <v>1778</v>
      </c>
      <c r="I229" s="20" t="s">
        <v>2033</v>
      </c>
    </row>
    <row r="230" spans="8:9">
      <c r="H230" s="20" t="s">
        <v>1778</v>
      </c>
      <c r="I230" s="20" t="s">
        <v>2034</v>
      </c>
    </row>
    <row r="231" spans="8:9">
      <c r="H231" s="20" t="s">
        <v>1778</v>
      </c>
      <c r="I231" s="20" t="s">
        <v>1954</v>
      </c>
    </row>
    <row r="232" spans="8:9">
      <c r="H232" s="20" t="s">
        <v>1782</v>
      </c>
      <c r="I232" s="20" t="s">
        <v>2036</v>
      </c>
    </row>
    <row r="233" spans="8:9">
      <c r="H233" s="20" t="s">
        <v>1782</v>
      </c>
      <c r="I233" s="20" t="s">
        <v>2037</v>
      </c>
    </row>
    <row r="234" spans="8:9">
      <c r="H234" s="20" t="s">
        <v>1782</v>
      </c>
      <c r="I234" s="20" t="s">
        <v>2038</v>
      </c>
    </row>
    <row r="235" spans="8:9">
      <c r="H235" s="20" t="s">
        <v>1782</v>
      </c>
      <c r="I235" s="20" t="s">
        <v>2039</v>
      </c>
    </row>
    <row r="236" spans="8:9">
      <c r="H236" s="20" t="s">
        <v>1782</v>
      </c>
      <c r="I236" s="20" t="s">
        <v>2040</v>
      </c>
    </row>
    <row r="237" spans="8:9">
      <c r="H237" s="20" t="s">
        <v>1782</v>
      </c>
      <c r="I237" s="20" t="s">
        <v>2041</v>
      </c>
    </row>
    <row r="238" spans="8:9">
      <c r="H238" s="20" t="s">
        <v>1782</v>
      </c>
      <c r="I238" s="20" t="s">
        <v>2042</v>
      </c>
    </row>
    <row r="239" spans="8:9">
      <c r="H239" s="20" t="s">
        <v>1782</v>
      </c>
      <c r="I239" s="20" t="s">
        <v>2043</v>
      </c>
    </row>
    <row r="240" spans="8:9">
      <c r="H240" s="20" t="s">
        <v>1782</v>
      </c>
      <c r="I240" s="20" t="s">
        <v>2044</v>
      </c>
    </row>
    <row r="241" spans="8:9">
      <c r="H241" s="20" t="s">
        <v>1787</v>
      </c>
      <c r="I241" s="20" t="s">
        <v>2045</v>
      </c>
    </row>
    <row r="242" spans="8:9">
      <c r="H242" s="20" t="s">
        <v>1787</v>
      </c>
      <c r="I242" s="20" t="s">
        <v>2046</v>
      </c>
    </row>
    <row r="243" spans="8:9">
      <c r="H243" s="20" t="s">
        <v>1787</v>
      </c>
      <c r="I243" s="20" t="s">
        <v>2047</v>
      </c>
    </row>
    <row r="244" spans="8:9">
      <c r="H244" s="20" t="s">
        <v>1787</v>
      </c>
      <c r="I244" s="20" t="s">
        <v>2048</v>
      </c>
    </row>
    <row r="245" spans="8:9">
      <c r="H245" s="20" t="s">
        <v>1787</v>
      </c>
      <c r="I245" s="20" t="s">
        <v>2049</v>
      </c>
    </row>
    <row r="246" spans="8:9">
      <c r="H246" s="20" t="s">
        <v>1787</v>
      </c>
      <c r="I246" s="20" t="s">
        <v>2050</v>
      </c>
    </row>
    <row r="247" spans="8:9">
      <c r="H247" s="20" t="s">
        <v>1787</v>
      </c>
      <c r="I247" s="20" t="s">
        <v>2051</v>
      </c>
    </row>
    <row r="248" spans="8:9">
      <c r="H248" s="20" t="s">
        <v>1787</v>
      </c>
      <c r="I248" s="20" t="s">
        <v>2052</v>
      </c>
    </row>
    <row r="249" spans="8:9">
      <c r="H249" s="20" t="s">
        <v>1787</v>
      </c>
      <c r="I249" s="20" t="s">
        <v>2053</v>
      </c>
    </row>
    <row r="250" spans="8:9">
      <c r="H250" s="20" t="s">
        <v>1787</v>
      </c>
      <c r="I250" s="20" t="s">
        <v>2054</v>
      </c>
    </row>
    <row r="251" spans="8:9">
      <c r="H251" s="20" t="s">
        <v>1787</v>
      </c>
      <c r="I251" s="20" t="s">
        <v>2055</v>
      </c>
    </row>
    <row r="252" spans="8:9">
      <c r="H252" s="20" t="s">
        <v>1787</v>
      </c>
      <c r="I252" s="20" t="s">
        <v>2056</v>
      </c>
    </row>
    <row r="253" spans="8:9">
      <c r="H253" s="20" t="s">
        <v>1787</v>
      </c>
      <c r="I253" s="20" t="s">
        <v>2057</v>
      </c>
    </row>
    <row r="254" spans="8:9">
      <c r="H254" s="20" t="s">
        <v>1787</v>
      </c>
      <c r="I254" s="20" t="s">
        <v>2058</v>
      </c>
    </row>
    <row r="255" spans="8:9">
      <c r="H255" s="20" t="s">
        <v>1787</v>
      </c>
      <c r="I255" s="20" t="s">
        <v>2059</v>
      </c>
    </row>
    <row r="256" spans="8:9">
      <c r="H256" s="20" t="s">
        <v>1791</v>
      </c>
      <c r="I256" s="20" t="s">
        <v>1836</v>
      </c>
    </row>
    <row r="257" spans="8:9">
      <c r="H257" s="20" t="s">
        <v>1791</v>
      </c>
      <c r="I257" s="20" t="s">
        <v>2060</v>
      </c>
    </row>
    <row r="258" spans="8:9">
      <c r="H258" s="20" t="s">
        <v>1791</v>
      </c>
      <c r="I258" s="20" t="s">
        <v>2061</v>
      </c>
    </row>
    <row r="259" spans="8:9">
      <c r="H259" s="20" t="s">
        <v>1791</v>
      </c>
      <c r="I259" s="20" t="s">
        <v>2062</v>
      </c>
    </row>
    <row r="260" spans="8:9">
      <c r="H260" s="20" t="s">
        <v>1791</v>
      </c>
      <c r="I260" s="20" t="s">
        <v>2063</v>
      </c>
    </row>
    <row r="261" spans="8:9">
      <c r="H261" s="20" t="s">
        <v>1791</v>
      </c>
      <c r="I261" s="20" t="s">
        <v>2064</v>
      </c>
    </row>
    <row r="262" spans="8:9">
      <c r="H262" s="20" t="s">
        <v>1794</v>
      </c>
      <c r="I262" s="20" t="s">
        <v>2065</v>
      </c>
    </row>
    <row r="263" spans="8:9">
      <c r="H263" s="20" t="s">
        <v>1794</v>
      </c>
      <c r="I263" s="20" t="s">
        <v>2066</v>
      </c>
    </row>
    <row r="264" spans="8:9">
      <c r="H264" s="20" t="s">
        <v>1794</v>
      </c>
      <c r="I264" s="20" t="s">
        <v>2067</v>
      </c>
    </row>
    <row r="265" spans="8:9">
      <c r="H265" s="20" t="s">
        <v>1799</v>
      </c>
      <c r="I265" s="20" t="s">
        <v>1961</v>
      </c>
    </row>
    <row r="266" spans="8:9">
      <c r="H266" s="20" t="s">
        <v>1799</v>
      </c>
      <c r="I266" s="20" t="s">
        <v>2068</v>
      </c>
    </row>
    <row r="267" spans="8:9">
      <c r="H267" s="20" t="s">
        <v>1799</v>
      </c>
      <c r="I267" s="20" t="s">
        <v>2069</v>
      </c>
    </row>
    <row r="268" spans="8:9">
      <c r="H268" s="20" t="s">
        <v>1799</v>
      </c>
      <c r="I268" s="20" t="s">
        <v>2070</v>
      </c>
    </row>
    <row r="269" spans="8:9">
      <c r="H269" s="20" t="s">
        <v>1799</v>
      </c>
      <c r="I269" s="20" t="s">
        <v>2071</v>
      </c>
    </row>
    <row r="270" spans="8:9">
      <c r="H270" s="20" t="s">
        <v>1799</v>
      </c>
      <c r="I270" s="20" t="s">
        <v>1782</v>
      </c>
    </row>
    <row r="271" spans="8:9">
      <c r="H271" s="20" t="s">
        <v>1799</v>
      </c>
      <c r="I271" s="20" t="s">
        <v>2072</v>
      </c>
    </row>
    <row r="272" spans="8:9">
      <c r="H272" s="20" t="s">
        <v>1799</v>
      </c>
      <c r="I272" s="20" t="s">
        <v>2073</v>
      </c>
    </row>
    <row r="273" spans="8:9">
      <c r="H273" s="20" t="s">
        <v>1799</v>
      </c>
      <c r="I273" s="20" t="s">
        <v>2019</v>
      </c>
    </row>
    <row r="274" spans="8:9">
      <c r="H274" s="20" t="s">
        <v>1803</v>
      </c>
      <c r="I274" s="20" t="s">
        <v>1966</v>
      </c>
    </row>
    <row r="275" spans="8:9">
      <c r="H275" s="20" t="s">
        <v>1808</v>
      </c>
      <c r="I275" s="20" t="s">
        <v>1685</v>
      </c>
    </row>
    <row r="276" spans="8:9">
      <c r="H276" s="20" t="s">
        <v>1808</v>
      </c>
      <c r="I276" s="20" t="s">
        <v>2074</v>
      </c>
    </row>
    <row r="277" spans="8:9">
      <c r="H277" s="20" t="s">
        <v>1808</v>
      </c>
      <c r="I277" s="20" t="s">
        <v>2066</v>
      </c>
    </row>
    <row r="278" spans="8:9">
      <c r="H278" s="20" t="s">
        <v>1808</v>
      </c>
      <c r="I278" s="20" t="s">
        <v>2075</v>
      </c>
    </row>
    <row r="279" spans="8:9">
      <c r="H279" s="20" t="s">
        <v>1808</v>
      </c>
      <c r="I279" s="20" t="s">
        <v>1879</v>
      </c>
    </row>
    <row r="280" spans="8:9">
      <c r="H280" s="20" t="s">
        <v>1808</v>
      </c>
      <c r="I280" s="20" t="s">
        <v>2076</v>
      </c>
    </row>
    <row r="281" spans="8:9">
      <c r="H281" s="20" t="s">
        <v>1808</v>
      </c>
      <c r="I281" s="20" t="s">
        <v>2077</v>
      </c>
    </row>
    <row r="282" spans="8:9">
      <c r="H282" s="20" t="s">
        <v>1808</v>
      </c>
      <c r="I282" s="20" t="s">
        <v>1900</v>
      </c>
    </row>
    <row r="283" spans="8:9">
      <c r="H283" s="20" t="s">
        <v>1811</v>
      </c>
      <c r="I283" s="20" t="s">
        <v>2078</v>
      </c>
    </row>
    <row r="284" spans="8:9">
      <c r="H284" s="20" t="s">
        <v>1811</v>
      </c>
      <c r="I284" s="20" t="s">
        <v>1689</v>
      </c>
    </row>
    <row r="285" spans="8:9">
      <c r="H285" s="20" t="s">
        <v>1811</v>
      </c>
      <c r="I285" s="20" t="s">
        <v>1944</v>
      </c>
    </row>
    <row r="286" spans="8:9">
      <c r="H286" s="20" t="s">
        <v>1811</v>
      </c>
      <c r="I286" s="20" t="s">
        <v>2010</v>
      </c>
    </row>
    <row r="287" spans="8:9">
      <c r="H287" s="20" t="s">
        <v>1811</v>
      </c>
      <c r="I287" s="20" t="s">
        <v>2079</v>
      </c>
    </row>
    <row r="288" spans="8:9">
      <c r="H288" s="20" t="s">
        <v>1811</v>
      </c>
      <c r="I288" s="20" t="s">
        <v>2080</v>
      </c>
    </row>
    <row r="289" spans="8:9">
      <c r="H289" s="20" t="s">
        <v>1739</v>
      </c>
      <c r="I289" s="20" t="s">
        <v>1739</v>
      </c>
    </row>
    <row r="290" spans="8:9">
      <c r="H290" s="20" t="s">
        <v>1800</v>
      </c>
      <c r="I290" s="20" t="s">
        <v>2081</v>
      </c>
    </row>
    <row r="291" spans="8:9">
      <c r="H291" s="20" t="s">
        <v>1800</v>
      </c>
      <c r="I291" s="20" t="s">
        <v>2082</v>
      </c>
    </row>
    <row r="292" spans="8:9">
      <c r="H292" s="20" t="s">
        <v>1820</v>
      </c>
      <c r="I292" s="20" t="s">
        <v>2083</v>
      </c>
    </row>
    <row r="293" spans="8:9">
      <c r="H293" s="20" t="s">
        <v>1824</v>
      </c>
      <c r="I293" s="20" t="s">
        <v>2084</v>
      </c>
    </row>
    <row r="294" spans="8:9">
      <c r="H294" s="20" t="s">
        <v>1828</v>
      </c>
      <c r="I294" s="20" t="s">
        <v>2085</v>
      </c>
    </row>
    <row r="295" spans="8:9">
      <c r="H295" s="20" t="s">
        <v>1828</v>
      </c>
      <c r="I295" s="20" t="s">
        <v>2086</v>
      </c>
    </row>
    <row r="296" spans="8:9">
      <c r="H296" s="20" t="s">
        <v>1828</v>
      </c>
      <c r="I296" s="20" t="s">
        <v>2087</v>
      </c>
    </row>
    <row r="297" spans="8:9">
      <c r="H297" s="20" t="s">
        <v>1828</v>
      </c>
      <c r="I297" s="20" t="s">
        <v>2088</v>
      </c>
    </row>
    <row r="298" spans="8:9">
      <c r="H298" s="20" t="s">
        <v>1828</v>
      </c>
      <c r="I298" s="20" t="s">
        <v>2089</v>
      </c>
    </row>
    <row r="299" spans="8:9">
      <c r="H299" s="20" t="s">
        <v>1831</v>
      </c>
      <c r="I299" s="20" t="s">
        <v>2090</v>
      </c>
    </row>
  </sheetData>
  <mergeCells count="2">
    <mergeCell ref="D1:F1"/>
    <mergeCell ref="G1:I1"/>
  </mergeCells>
  <pageMargins left="0.7" right="0.7" top="0.75" bottom="0.75" header="0.3" footer="0.3"/>
  <pageSetup orientation="portrait" r:id="rId1"/>
  <tableParts count="1">
    <tablePart r:id="rId2"/>
  </tablePart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item1.xml><?xml version="1.0" encoding="utf-8"?>
<?mso-contentType ?>
<spe:Receivers xmlns:spe="http://schemas.microsoft.com/sharepoint/events">
  <Receiver xmlns="">
    <Name>Nintex conditional workflow start</Name>
    <Synchronization>Synchronous</Synchronization>
    <Type>10001</Type>
    <SequenceNumber>50000</SequenceNumber>
    <Assembly>Nintex.Workflow, Version=1.0.0.0, Culture=neutral, PublicKeyToken=913f6bae0ca5ae12</Assembly>
    <Class>Nintex.Workflow.ConditionalWorkflowStartReceiver</Class>
    <Data>5/29/2014 2:27:32 PM</Data>
    <Filter/>
  </Receiver>
  <Receiver xmlns="">
    <Name>Nintex conditional workflow start</Name>
    <Synchronization>Synchronous</Synchronization>
    <Type>10002</Type>
    <SequenceNumber>50000</SequenceNumber>
    <Assembly>Nintex.Workflow, Version=1.0.0.0, Culture=neutral, PublicKeyToken=913f6bae0ca5ae12</Assembly>
    <Class>Nintex.Workflow.ConditionalWorkflowStartReceiver</Class>
    <Data>5/29/2014 2:27:32 PM</Data>
    <Filter/>
  </Receiver>
  <Receiver xmlns="">
    <Name>Nintex conditional workflow start</Name>
    <Synchronization>Synchronous</Synchronization>
    <Type>2</Type>
    <SequenceNumber>50000</SequenceNumber>
    <Assembly>Nintex.Workflow, Version=1.0.0.0, Culture=neutral, PublicKeyToken=913f6bae0ca5ae12</Assembly>
    <Class>Nintex.Workflow.ConditionalWorkflowStartReceiver</Class>
    <Data>5/29/2014 2:27:32 PM</Data>
    <Filter/>
  </Receiver>
</spe:Receivers>
</file>

<file path=customXml/item2.xml><?xml version="1.0" encoding="utf-8"?>
<ct:contentTypeSchema xmlns:ct="http://schemas.microsoft.com/office/2006/metadata/contentType" xmlns:ma="http://schemas.microsoft.com/office/2006/metadata/properties/metaAttributes" ct:_="" ma:_="" ma:contentTypeName="Document" ma:contentTypeID="0x0101006CBE4D87CCA7FD4C9B8B75D92187D8C7" ma:contentTypeVersion="121" ma:contentTypeDescription="Create a new document." ma:contentTypeScope="" ma:versionID="10d69607d3bdd7396aecaa7d86e5addc">
  <xsd:schema xmlns:xsd="http://www.w3.org/2001/XMLSchema" xmlns:xs="http://www.w3.org/2001/XMLSchema" xmlns:p="http://schemas.microsoft.com/office/2006/metadata/properties" xmlns:ns2="http://schemas.microsoft.com/sharepoint/v4" xmlns:ns3="cdc080df-82ea-4290-87f2-5e34bd39f723" xmlns:ns4="eb7b6a6a-c6a9-426b-95c5-b515bac8c6cb" xmlns:ns5="6e791d5b-3bd7-4d87-b80d-5e4c71e4c5f9" targetNamespace="http://schemas.microsoft.com/office/2006/metadata/properties" ma:root="true" ma:fieldsID="91ab362fbd07321720e418f1eb1a766c" ns2:_="" ns3:_="" ns4:_="" ns5:_="">
    <xsd:import namespace="http://schemas.microsoft.com/sharepoint/v4"/>
    <xsd:import namespace="cdc080df-82ea-4290-87f2-5e34bd39f723"/>
    <xsd:import namespace="eb7b6a6a-c6a9-426b-95c5-b515bac8c6cb"/>
    <xsd:import namespace="6e791d5b-3bd7-4d87-b80d-5e4c71e4c5f9"/>
    <xsd:element name="properties">
      <xsd:complexType>
        <xsd:sequence>
          <xsd:element name="documentManagement">
            <xsd:complexType>
              <xsd:all>
                <xsd:element ref="ns2:IconOverlay" minOccurs="0"/>
                <xsd:element ref="ns3:MediaServiceMetadata" minOccurs="0"/>
                <xsd:element ref="ns3:MediaServiceFastMetadata" minOccurs="0"/>
                <xsd:element ref="ns4:SharedWithUsers" minOccurs="0"/>
                <xsd:element ref="ns4:SharedWithDetails" minOccurs="0"/>
                <xsd:element ref="ns3:MediaServiceObjectDetectorVersions" minOccurs="0"/>
                <xsd:element ref="ns3:lcf76f155ced4ddcb4097134ff3c332f" minOccurs="0"/>
                <xsd:element ref="ns5:TaxCatchAll" minOccurs="0"/>
                <xsd:element ref="ns3:MediaServiceOCR" minOccurs="0"/>
                <xsd:element ref="ns3:MediaServiceGenerationTime" minOccurs="0"/>
                <xsd:element ref="ns3:MediaServiceEventHashCode" minOccurs="0"/>
                <xsd:element ref="ns3:MediaServiceSearchProperties" minOccurs="0"/>
                <xsd:element ref="ns3:MediaServiceDateTaken"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http://schemas.microsoft.com/sharepoint/v4" elementFormDefault="qualified">
    <xsd:import namespace="http://schemas.microsoft.com/office/2006/documentManagement/types"/>
    <xsd:import namespace="http://schemas.microsoft.com/office/infopath/2007/PartnerControls"/>
    <xsd:element name="IconOverlay" ma:index="8" nillable="true" ma:displayName="IconOverlay" ma:hidden="true" ma:internalName="IconOverlay">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cdc080df-82ea-4290-87f2-5e34bd39f723" elementFormDefault="qualified">
    <xsd:import namespace="http://schemas.microsoft.com/office/2006/documentManagement/types"/>
    <xsd:import namespace="http://schemas.microsoft.com/office/infopath/2007/PartnerControls"/>
    <xsd:element name="MediaServiceMetadata" ma:index="9" nillable="true" ma:displayName="MediaServiceMetadata" ma:hidden="true" ma:internalName="MediaServiceMetadata" ma:readOnly="true">
      <xsd:simpleType>
        <xsd:restriction base="dms:Note"/>
      </xsd:simpleType>
    </xsd:element>
    <xsd:element name="MediaServiceFastMetadata" ma:index="10" nillable="true" ma:displayName="MediaServiceFastMetadata" ma:hidden="true" ma:internalName="MediaServiceFastMetadata" ma:readOnly="true">
      <xsd:simpleType>
        <xsd:restriction base="dms:Note"/>
      </xsd:simpleType>
    </xsd:element>
    <xsd:element name="MediaServiceObjectDetectorVersions" ma:index="13" nillable="true" ma:displayName="MediaServiceObjectDetectorVersions" ma:hidden="true" ma:indexed="true" ma:internalName="MediaServiceObjectDetectorVersions" ma:readOnly="true">
      <xsd:simpleType>
        <xsd:restriction base="dms:Text"/>
      </xsd:simpleType>
    </xsd:element>
    <xsd:element name="lcf76f155ced4ddcb4097134ff3c332f" ma:index="15" nillable="true" ma:taxonomy="true" ma:internalName="lcf76f155ced4ddcb4097134ff3c332f" ma:taxonomyFieldName="MediaServiceImageTags" ma:displayName="Image Tags" ma:readOnly="false" ma:fieldId="{5cf76f15-5ced-4ddc-b409-7134ff3c332f}" ma:taxonomyMulti="true" ma:sspId="fea54593-d362-4dcd-bfd7-547f760de9d2" ma:termSetId="09814cd3-568e-fe90-9814-8d621ff8fb84" ma:anchorId="fba54fb3-c3e1-fe81-a776-ca4b69148c4d" ma:open="true" ma:isKeyword="false">
      <xsd:complexType>
        <xsd:sequence>
          <xsd:element ref="pc:Terms" minOccurs="0" maxOccurs="1"/>
        </xsd:sequence>
      </xsd:complexType>
    </xsd:element>
    <xsd:element name="MediaServiceOCR" ma:index="17" nillable="true" ma:displayName="Extracted Text" ma:internalName="MediaServiceOCR" ma:readOnly="true">
      <xsd:simpleType>
        <xsd:restriction base="dms:Note">
          <xsd:maxLength value="255"/>
        </xsd:restriction>
      </xsd:simpleType>
    </xsd:element>
    <xsd:element name="MediaServiceGenerationTime" ma:index="18" nillable="true" ma:displayName="MediaServiceGenerationTime" ma:hidden="true" ma:internalName="MediaServiceGenerationTime" ma:readOnly="true">
      <xsd:simpleType>
        <xsd:restriction base="dms:Text"/>
      </xsd:simpleType>
    </xsd:element>
    <xsd:element name="MediaServiceEventHashCode" ma:index="19" nillable="true" ma:displayName="MediaServiceEventHashCode" ma:hidden="true" ma:internalName="MediaServiceEventHashCode" ma:readOnly="true">
      <xsd:simpleType>
        <xsd:restriction base="dms:Text"/>
      </xsd:simpleType>
    </xsd:element>
    <xsd:element name="MediaServiceSearchProperties" ma:index="20" nillable="true" ma:displayName="MediaServiceSearchProperties" ma:hidden="true" ma:internalName="MediaServiceSearchProperties" ma:readOnly="true">
      <xsd:simpleType>
        <xsd:restriction base="dms:Note"/>
      </xsd:simpleType>
    </xsd:element>
    <xsd:element name="MediaServiceDateTaken" ma:index="21" nillable="true" ma:displayName="MediaServiceDateTaken" ma:hidden="true" ma:indexed="true" ma:internalName="MediaServiceDateTaken" ma:readOnly="true">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eb7b6a6a-c6a9-426b-95c5-b515bac8c6cb" elementFormDefault="qualified">
    <xsd:import namespace="http://schemas.microsoft.com/office/2006/documentManagement/types"/>
    <xsd:import namespace="http://schemas.microsoft.com/office/infopath/2007/PartnerControls"/>
    <xsd:element name="SharedWithUsers" ma:index="11"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2" nillable="true" ma:displayName="Shared With Details" ma:internalName="SharedWithDetails" ma:readOnly="true">
      <xsd:simpleType>
        <xsd:restriction base="dms:Note">
          <xsd:maxLength value="255"/>
        </xsd:restriction>
      </xsd:simpleType>
    </xsd:element>
  </xsd:schema>
  <xsd:schema xmlns:xsd="http://www.w3.org/2001/XMLSchema" xmlns:xs="http://www.w3.org/2001/XMLSchema" xmlns:dms="http://schemas.microsoft.com/office/2006/documentManagement/types" xmlns:pc="http://schemas.microsoft.com/office/infopath/2007/PartnerControls" targetNamespace="6e791d5b-3bd7-4d87-b80d-5e4c71e4c5f9" elementFormDefault="qualified">
    <xsd:import namespace="http://schemas.microsoft.com/office/2006/documentManagement/types"/>
    <xsd:import namespace="http://schemas.microsoft.com/office/infopath/2007/PartnerControls"/>
    <xsd:element name="TaxCatchAll" ma:index="16" nillable="true" ma:displayName="Taxonomy Catch All Column" ma:hidden="true" ma:list="{47117e67-5517-429d-9fd9-bf2a08cb305e}" ma:internalName="TaxCatchAll" ma:showField="CatchAllData" ma:web="6e791d5b-3bd7-4d87-b80d-5e4c71e4c5f9">
      <xsd:complexType>
        <xsd:complexContent>
          <xsd:extension base="dms:MultiChoiceLookup">
            <xsd:sequence>
              <xsd:element name="Value" type="dms:Lookup" maxOccurs="unbounded" minOccurs="0" nillable="true"/>
            </xsd:sequence>
          </xsd:extension>
        </xsd:complexContent>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1"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mso-contentType ?>
<FormTemplates xmlns="http://schemas.microsoft.com/sharepoint/v3/contenttype/forms">
  <Display>DocumentLibraryForm</Display>
  <Edit>DocumentLibraryForm</Edit>
  <New>DocumentLibraryForm</New>
</FormTemplates>
</file>

<file path=customXml/item4.xml><?xml version="1.0" encoding="utf-8"?>
<p:properties xmlns:p="http://schemas.microsoft.com/office/2006/metadata/properties" xmlns:xsi="http://www.w3.org/2001/XMLSchema-instance" xmlns:pc="http://schemas.microsoft.com/office/infopath/2007/PartnerControls">
  <documentManagement>
    <TaxCatchAll xmlns="6e791d5b-3bd7-4d87-b80d-5e4c71e4c5f9" xsi:nil="true"/>
    <lcf76f155ced4ddcb4097134ff3c332f xmlns="cdc080df-82ea-4290-87f2-5e34bd39f723">
      <Terms xmlns="http://schemas.microsoft.com/office/infopath/2007/PartnerControls"/>
    </lcf76f155ced4ddcb4097134ff3c332f>
    <SharedWithUsers xmlns="eb7b6a6a-c6a9-426b-95c5-b515bac8c6cb">
      <UserInfo>
        <DisplayName>ADEP All Staff (Global)</DisplayName>
        <AccountId>985</AccountId>
        <AccountType/>
      </UserInfo>
    </SharedWithUsers>
    <IconOverlay xmlns="http://schemas.microsoft.com/sharepoint/v4" xsi:nil="true"/>
  </documentManagement>
</p:properties>
</file>

<file path=customXml/itemProps1.xml><?xml version="1.0" encoding="utf-8"?>
<ds:datastoreItem xmlns:ds="http://schemas.openxmlformats.org/officeDocument/2006/customXml" ds:itemID="{71B0AFF6-C51E-4476-AC22-EF03586E9509}">
  <ds:schemaRefs>
    <ds:schemaRef ds:uri="http://schemas.microsoft.com/sharepoint/events"/>
    <ds:schemaRef ds:uri=""/>
  </ds:schemaRefs>
</ds:datastoreItem>
</file>

<file path=customXml/itemProps2.xml><?xml version="1.0" encoding="utf-8"?>
<ds:datastoreItem xmlns:ds="http://schemas.openxmlformats.org/officeDocument/2006/customXml" ds:itemID="{FFF5B197-B0AA-4FD8-B6AF-AEDFAB0EB03C}">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http://schemas.microsoft.com/sharepoint/v4"/>
    <ds:schemaRef ds:uri="cdc080df-82ea-4290-87f2-5e34bd39f723"/>
    <ds:schemaRef ds:uri="eb7b6a6a-c6a9-426b-95c5-b515bac8c6cb"/>
    <ds:schemaRef ds:uri="6e791d5b-3bd7-4d87-b80d-5e4c71e4c5f9"/>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3.xml><?xml version="1.0" encoding="utf-8"?>
<ds:datastoreItem xmlns:ds="http://schemas.openxmlformats.org/officeDocument/2006/customXml" ds:itemID="{8F98EA65-507D-4166-8EEB-7E01801C3394}">
  <ds:schemaRefs>
    <ds:schemaRef ds:uri="http://schemas.microsoft.com/sharepoint/v3/contenttype/forms"/>
  </ds:schemaRefs>
</ds:datastoreItem>
</file>

<file path=customXml/itemProps4.xml><?xml version="1.0" encoding="utf-8"?>
<ds:datastoreItem xmlns:ds="http://schemas.openxmlformats.org/officeDocument/2006/customXml" ds:itemID="{8ED3ACD8-AAC6-432D-80B1-CC8B06AC4D85}">
  <ds:schemaRefs>
    <ds:schemaRef ds:uri="http://schemas.microsoft.com/office/2006/metadata/properties"/>
    <ds:schemaRef ds:uri="http://schemas.microsoft.com/office/infopath/2007/PartnerControls"/>
    <ds:schemaRef ds:uri="6e791d5b-3bd7-4d87-b80d-5e4c71e4c5f9"/>
    <ds:schemaRef ds:uri="cdc080df-82ea-4290-87f2-5e34bd39f723"/>
    <ds:schemaRef ds:uri="eb7b6a6a-c6a9-426b-95c5-b515bac8c6cb"/>
    <ds:schemaRef ds:uri="http://schemas.microsoft.com/sharepoint/v4"/>
  </ds:schemaRefs>
</ds:datastoreItem>
</file>

<file path=docMetadata/LabelInfo.xml><?xml version="1.0" encoding="utf-8"?>
<clbl:labelList xmlns:clbl="http://schemas.microsoft.com/office/2020/mipLabelMetadata">
  <clbl:label id="{3aa716f1-e559-41ce-a530-47d18313c603}" enabled="0" method="" siteId="{3aa716f1-e559-41ce-a530-47d18313c603}" removed="1"/>
</clbl:labelList>
</file>

<file path=docProps/app.xml><?xml version="1.0" encoding="utf-8"?>
<Properties xmlns="http://schemas.openxmlformats.org/officeDocument/2006/extended-properties" xmlns:vt="http://schemas.openxmlformats.org/officeDocument/2006/docPropsVTypes">
  <Application>Microsoft Excel</Application>
  <DocSecurity>2</DocSecurity>
  <ScaleCrop>false</ScaleCrop>
  <HeadingPairs>
    <vt:vector size="2" baseType="variant">
      <vt:variant>
        <vt:lpstr>Worksheets</vt:lpstr>
      </vt:variant>
      <vt:variant>
        <vt:i4>4</vt:i4>
      </vt:variant>
    </vt:vector>
  </HeadingPairs>
  <TitlesOfParts>
    <vt:vector size="4" baseType="lpstr">
      <vt:lpstr>Version History</vt:lpstr>
      <vt:lpstr>Data Sheet</vt:lpstr>
      <vt:lpstr>SPIDER-to-QDM Variable Types</vt:lpstr>
      <vt:lpstr>LOVs</vt:lpstr>
    </vt:vector>
  </TitlesOfParts>
  <Manager/>
  <Company>U.S. Census Bureau</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Lora Rosenberger (CENSUS/ADEP FED)</dc:creator>
  <cp:keywords/>
  <dc:description/>
  <cp:lastModifiedBy>Niloy Banerjee</cp:lastModifiedBy>
  <cp:revision/>
  <dcterms:created xsi:type="dcterms:W3CDTF">2023-09-08T09:28:50Z</dcterms:created>
  <dcterms:modified xsi:type="dcterms:W3CDTF">2025-01-09T16:47:27Z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MediaServiceImageTags">
    <vt:lpwstr/>
  </property>
  <property fmtid="{D5CDD505-2E9C-101B-9397-08002B2CF9AE}" pid="3" name="ContentTypeId">
    <vt:lpwstr>0x0101006CBE4D87CCA7FD4C9B8B75D92187D8C7</vt:lpwstr>
  </property>
  <property fmtid="{D5CDD505-2E9C-101B-9397-08002B2CF9AE}" pid="4" name="_dlc_DocId">
    <vt:lpwstr>YUKSKDH5NAVS-1555773150-14802</vt:lpwstr>
  </property>
  <property fmtid="{D5CDD505-2E9C-101B-9397-08002B2CF9AE}" pid="5" name="_dlc_DocIdItemGuid">
    <vt:lpwstr>d197019c-a086-41b3-a6ef-d3eabb4dd136</vt:lpwstr>
  </property>
  <property fmtid="{D5CDD505-2E9C-101B-9397-08002B2CF9AE}" pid="6" name="_dlc_DocIdUrl">
    <vt:lpwstr>https://uscensus.sharepoint.com/sites/cto/ea/_layouts/15/DocIdRedir.aspx?ID=YUKSKDH5NAVS-1555773150-14802, YUKSKDH5NAVS-1555773150-14802</vt:lpwstr>
  </property>
</Properties>
</file>